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hidePivotFieldList="1"/>
  <mc:AlternateContent xmlns:mc="http://schemas.openxmlformats.org/markup-compatibility/2006">
    <mc:Choice Requires="x15">
      <x15ac:absPath xmlns:x15ac="http://schemas.microsoft.com/office/spreadsheetml/2010/11/ac" url="https://d.docs.live.net/3e06c2953854fd03/Desktop/Call-Centre-Analytics/"/>
    </mc:Choice>
  </mc:AlternateContent>
  <xr:revisionPtr revIDLastSave="0" documentId="13_ncr:1_{9E0A3850-809C-4ECE-9C31-C9A1542E9C59}" xr6:coauthVersionLast="47" xr6:coauthVersionMax="47" xr10:uidLastSave="{00000000-0000-0000-0000-000000000000}"/>
  <bookViews>
    <workbookView xWindow="-108" yWindow="-108" windowWidth="23256" windowHeight="12456" activeTab="3" xr2:uid="{26D4546B-D2A1-4444-8EAF-A6228F96F0C1}"/>
  </bookViews>
  <sheets>
    <sheet name="pivots" sheetId="6" r:id="rId1"/>
    <sheet name="Data" sheetId="2" r:id="rId2"/>
    <sheet name="Assets" sheetId="4" r:id="rId3"/>
    <sheet name="Customer Centre Report" sheetId="5" r:id="rId4"/>
  </sheets>
  <definedNames>
    <definedName name="_xlnm._FilterDatabase" localSheetId="1" hidden="1">Data!$B$3:$H$1003</definedName>
    <definedName name="_xlcn.WorksheetConnection_sampledataexcelportfolioproject.xlsxcalls" hidden="1">calls[]</definedName>
    <definedName name="_xlcn.WorksheetConnection_sampledata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8" i="5" l="1" a="1"/>
  <c r="R18" i="5" s="1"/>
  <c r="Q19" i="5" a="1"/>
  <c r="Q19" i="5" s="1"/>
  <c r="H39" i="6"/>
  <c r="I46" i="6" s="1"/>
  <c r="E42" i="6" a="1"/>
  <c r="E42"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45" i="6" l="1"/>
  <c r="I44" i="6"/>
  <c r="I43" i="6"/>
  <c r="H45" i="6"/>
  <c r="H46" i="6"/>
  <c r="H44" i="6"/>
  <c r="H43" i="6"/>
  <c r="H42" i="6"/>
  <c r="I4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F1E8F3-A9F9-4C45-905C-0623431C2B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6A5EFCF-BB58-432F-B77C-4E7359F6F58C}"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
        </x15:connection>
      </ext>
    </extLst>
  </connection>
  <connection id="3" xr16:uid="{2026032A-52EE-4AC1-8DD5-6B879F66DA5B}"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<sst xmlns="http://schemas.openxmlformats.org/spreadsheetml/2006/main" count="3159" uniqueCount="1079">
  <si>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</si>
  <si>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</si>
  <si>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</si>
  <si>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</si>
  <si>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</si>
  <si>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</si>
  <si>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</si>
  <si>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</si>
  <si>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</si>
  <si>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</si>
  <si>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</si>
  <si>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</si>
  <si>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</si>
  <si>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</si>
  <si>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</si>
  <si>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</si>
  <si>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</si>
  <si>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</si>
  <si>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</si>
  <si>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</si>
  <si>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</si>
  <si>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</si>
  <si>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</si>
  <si>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</si>
  <si>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</si>
  <si>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</si>
  <si>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</si>
  <si>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</si>
  <si>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</si>
  <si>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</si>
  <si>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</si>
  <si>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</si>
  <si>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</si>
  <si>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</si>
  <si>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</si>
  <si>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</si>
  <si>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</si>
  <si>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</si>
  <si>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</si>
  <si>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</si>
  <si>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</si>
  <si>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</si>
  <si>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</si>
  <si>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</si>
  <si>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</si>
  <si>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</si>
  <si>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</si>
  <si>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</si>
  <si>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</si>
  <si>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</si>
  <si>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</si>
  <si>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</si>
  <si>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</si>
  <si>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</si>
  <si>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</si>
  <si>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</si>
  <si>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</si>
  <si>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</si>
  <si>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</si>
  <si>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</si>
  <si>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</si>
  <si>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</si>
  <si>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</si>
  <si>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</si>
  <si>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</si>
  <si>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</si>
  <si>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</si>
  <si>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</si>
  <si>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</si>
  <si>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</si>
  <si>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</si>
  <si>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</si>
  <si>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</si>
  <si>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</si>
  <si>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</si>
  <si>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</si>
  <si>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</si>
  <si>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</si>
  <si>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</si>
  <si>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</si>
  <si>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</si>
  <si>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</si>
  <si>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</si>
  <si>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</si>
  <si>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</si>
  <si>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</si>
  <si>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</si>
  <si>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</si>
  <si>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</si>
  <si>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</si>
  <si>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</si>
  <si>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</si>
  <si>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</si>
  <si>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</si>
  <si>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</si>
  <si>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</si>
  <si>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</si>
  <si>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</si>
  <si>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</si>
  <si>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</si>
  <si>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</si>
  <si>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</si>
  <si>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</si>
  <si>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</si>
  <si>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</si>
  <si>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</si>
  <si>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</si>
  <si>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</si>
  <si>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</si>
  <si>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</si>
  <si>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</si>
  <si>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</si>
  <si>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</si>
  <si>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</si>
  <si>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</si>
  <si>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</si>
  <si>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</si>
  <si>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</si>
  <si>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</si>
  <si>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</si>
  <si>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</si>
  <si>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</si>
  <si>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</si>
  <si>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</si>
  <si>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</si>
  <si>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</si>
  <si>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</si>
  <si>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</si>
  <si>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</si>
  <si>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</si>
  <si>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</si>
  <si>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</si>
  <si>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</si>
  <si>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</si>
  <si>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</si>
  <si>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</si>
  <si>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</si>
  <si>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</si>
  <si>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</si>
  <si>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</si>
  <si>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</si>
  <si>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</si>
  <si>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</si>
  <si>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</si>
  <si>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</si>
  <si>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</si>
  <si>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</si>
  <si>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</si>
  <si>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</si>
  <si>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</si>
  <si>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</si>
  <si>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</si>
  <si>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</si>
  <si>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</si>
  <si>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</si>
  <si>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</si>
  <si>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</si>
  <si>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</si>
  <si>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</si>
  <si>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</si>
  <si>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</si>
  <si>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</si>
  <si>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</si>
  <si>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</si>
  <si>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</si>
  <si>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</si>
  <si>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</si>
  <si>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</si>
  <si>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</si>
  <si>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</si>
  <si>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</si>
  <si>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</si>
  <si>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</si>
  <si>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</si>
  <si>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</si>
  <si>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</si>
  <si>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</si>
  <si>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</si>
  <si>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</si>
  <si>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</si>
  <si>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</si>
  <si>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</si>
  <si>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</si>
  <si>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</si>
  <si>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</si>
  <si>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</si>
  <si>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</si>
  <si>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</si>
  <si>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</si>
  <si>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</si>
  <si>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</si>
  <si>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</si>
  <si>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</si>
  <si>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</si>
  <si>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</si>
  <si>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</si>
  <si>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</si>
  <si>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</si>
  <si>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</si>
  <si>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</si>
  <si>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</si>
  <si>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</si>
  <si>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</si>
  <si>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</si>
  <si>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</si>
  <si>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</si>
  <si>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</si>
  <si>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</si>
  <si>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</si>
  <si>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</si>
  <si>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</si>
  <si>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</si>
  <si>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</si>
  <si>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</si>
  <si>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</si>
  <si>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</si>
  <si>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</si>
  <si>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</si>
  <si>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</si>
  <si>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</si>
  <si>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</si>
  <si>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</si>
  <si>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</si>
  <si>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</si>
  <si>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</si>
  <si>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</si>
  <si>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</si>
  <si>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</si>
  <si>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</si>
  <si>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</si>
  <si>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</si>
  <si>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</si>
  <si>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</si>
  <si>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</si>
  <si>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</si>
  <si>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</si>
  <si>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</si>
  <si>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</si>
  <si>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</si>
  <si>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</si>
  <si>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</si>
  <si>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</si>
  <si>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</si>
  <si>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</si>
  <si>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</si>
  <si>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</si>
  <si>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</si>
  <si>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</si>
  <si>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</si>
  <si>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</si>
  <si>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</si>
  <si>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</si>
  <si>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</si>
  <si>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</si>
  <si>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</si>
  <si>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</si>
  <si>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</si>
  <si>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</si>
  <si>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</si>
  <si>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</si>
  <si>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</si>
  <si>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</si>
  <si>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</si>
  <si>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</si>
  <si>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</si>
  <si>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</si>
  <si>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</si>
  <si>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</si>
  <si>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</si>
  <si>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</si>
  <si>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</si>
  <si>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</si>
  <si>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</si>
  <si>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</si>
  <si>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</si>
  <si>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</si>
  <si>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</si>
  <si>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</si>
  <si>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</si>
  <si>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</si>
  <si>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</si>
  <si>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</si>
  <si>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</si>
  <si>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</si>
  <si>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</si>
  <si>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</si>
  <si>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</si>
  <si>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</si>
  <si>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</si>
  <si>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</si>
  <si>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</si>
  <si>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</si>
  <si>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</si>
  <si>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</si>
  <si>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</si>
  <si>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</si>
  <si>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</si>
  <si>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</si>
  <si>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</si>
  <si>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</si>
  <si>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</si>
  <si>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</si>
  <si>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</si>
  <si>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</si>
  <si>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</si>
  <si>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</si>
  <si>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</si>
  <si>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</si>
  <si>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</si>
  <si>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</si>
  <si>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</si>
  <si>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</si>
  <si>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</si>
  <si>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</si>
  <si>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</si>
  <si>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</si>
  <si>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</si>
  <si>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</si>
  <si>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</si>
  <si>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</si>
  <si>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</si>
  <si>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</si>
  <si>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</si>
  <si>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</si>
  <si>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</si>
  <si>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</si>
  <si>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</si>
  <si>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</si>
  <si>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</si>
  <si>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</si>
  <si>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</si>
  <si>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</si>
  <si>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</si>
  <si>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</si>
  <si>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</si>
  <si>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</si>
  <si>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</si>
  <si>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</si>
  <si>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</si>
  <si>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</si>
  <si>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</si>
  <si>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</si>
  <si>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</si>
  <si>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</si>
  <si>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</si>
  <si>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</si>
  <si>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</si>
  <si>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</si>
  <si>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</si>
  <si>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</si>
  <si>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</si>
  <si>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</si>
  <si>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</si>
  <si>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</si>
  <si>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</si>
  <si>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</si>
  <si>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</si>
  <si>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</si>
  <si>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</si>
  <si>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</si>
  <si>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</si>
  <si>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</si>
  <si>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</si>
  <si>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</si>
  <si>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</si>
  <si>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</si>
  <si>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</si>
  <si>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</si>
  <si>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</si>
  <si>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</si>
  <si>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</si>
  <si>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</si>
  <si>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</si>
  <si>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</si>
  <si>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</si>
  <si>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</si>
  <si>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</si>
  <si>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</si>
  <si>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</si>
  <si>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</si>
  <si>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</si>
  <si>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</si>
  <si>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</si>
  <si>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</si>
  <si>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</si>
  <si>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</si>
  <si>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</si>
  <si>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</si>
  <si>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</si>
  <si>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</si>
  <si>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</si>
  <si>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</si>
  <si>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</si>
  <si>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</si>
  <si>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</si>
  <si>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</si>
  <si>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</si>
  <si>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</si>
  <si>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</si>
  <si>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</si>
  <si>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</si>
  <si>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</si>
  <si>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</si>
  <si>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</si>
  <si>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</si>
  <si>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</si>
  <si>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</si>
  <si>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</si>
  <si>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</si>
  <si>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</si>
  <si>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</si>
  <si>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</si>
  <si>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</si>
  <si>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</si>
  <si>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</si>
  <si>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</si>
  <si>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</si>
  <si>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</si>
  <si>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</si>
  <si>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</si>
  <si>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</si>
  <si>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</si>
  <si>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</si>
  <si>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</si>
  <si>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</si>
  <si>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</si>
  <si>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</si>
  <si>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</si>
  <si>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</si>
  <si>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</si>
  <si>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</si>
  <si>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</si>
  <si>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</si>
  <si>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</si>
  <si>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</si>
  <si>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</si>
  <si>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</si>
  <si>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</si>
  <si>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</si>
  <si>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</si>
  <si>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</si>
  <si>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</si>
  <si>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</si>
  <si>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</si>
  <si>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</si>
  <si>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</si>
  <si>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</si>
  <si>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</si>
  <si>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</si>
  <si>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</si>
  <si>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</si>
  <si>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</si>
  <si>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</si>
  <si>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</si>
  <si>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</si>
  <si>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</si>
  <si>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</si>
  <si>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</si>
  <si>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</si>
  <si>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</si>
  <si>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</si>
  <si>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</si>
  <si>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</si>
  <si>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</si>
  <si>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</si>
  <si>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</si>
  <si>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</si>
  <si>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</si>
  <si>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</si>
  <si>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</si>
  <si>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</si>
  <si>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</si>
  <si>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</si>
  <si>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</si>
  <si>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</si>
  <si>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</si>
  <si>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</si>
  <si>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</si>
  <si>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</si>
  <si>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</si>
  <si>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</si>
  <si>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</si>
  <si>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</si>
  <si>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</si>
  <si>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</si>
  <si>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</si>
  <si>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</si>
  <si>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</si>
  <si>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</si>
  <si>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</si>
  <si>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</si>
  <si>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</si>
  <si>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</si>
  <si>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</si>
  <si>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</si>
  <si>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</si>
  <si>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</si>
  <si>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</si>
  <si>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</si>
  <si>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</si>
  <si>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</si>
  <si>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</si>
  <si>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</si>
  <si>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</si>
  <si>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</si>
  <si>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</si>
  <si>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</si>
  <si>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</si>
  <si>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</si>
  <si>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</si>
  <si>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</si>
  <si>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</si>
  <si>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</si>
  <si>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</si>
  <si>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</si>
  <si>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</si>
  <si>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</si>
  <si>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</si>
  <si>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</si>
  <si>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</si>
  <si>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</si>
  <si>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</si>
  <si>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</si>
  <si>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</si>
  <si>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</si>
  <si>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</si>
  <si>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</si>
  <si>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</si>
  <si>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</si>
  <si>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</si>
  <si>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</si>
  <si>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</si>
  <si>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</si>
  <si>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</si>
  <si>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</si>
  <si>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</si>
  <si>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</si>
  <si>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</si>
  <si>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</si>
  <si>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</si>
  <si>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</si>
  <si>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</si>
  <si>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</si>
  <si>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</si>
  <si>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</si>
  <si>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</si>
  <si>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</si>
  <si>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</si>
  <si>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</si>
  <si>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</si>
  <si>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</si>
  <si>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</si>
  <si>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</si>
  <si>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</si>
  <si>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</si>
  <si>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</si>
  <si>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</si>
  <si>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</si>
  <si>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</si>
  <si>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</si>
  <si>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</si>
  <si>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</si>
  <si>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</si>
  <si>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</si>
  <si>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</si>
  <si>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</si>
  <si>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</si>
  <si>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</si>
  <si>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</si>
  <si>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</si>
  <si>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</si>
  <si>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</si>
  <si>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</si>
  <si>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</si>
  <si>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</si>
  <si>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</si>
  <si>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</si>
  <si>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</si>
  <si>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</si>
  <si>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</si>
  <si>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</si>
  <si>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</si>
  <si>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</si>
  <si>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</si>
  <si>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</si>
  <si>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</si>
  <si>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</si>
  <si>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</si>
  <si>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</si>
  <si>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</si>
  <si>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</si>
  <si>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</si>
  <si>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</si>
  <si>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</si>
  <si>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</si>
  <si>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</si>
  <si>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</si>
  <si>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</si>
  <si>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</si>
  <si>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</si>
  <si>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</si>
  <si>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</si>
  <si>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</si>
  <si>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</si>
  <si>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</si>
  <si>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</si>
  <si>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</si>
  <si>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</si>
  <si>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</si>
  <si>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</si>
  <si>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</si>
  <si>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</si>
  <si>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</si>
  <si>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</si>
  <si>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</si>
  <si>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</si>
  <si>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</si>
  <si>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</si>
  <si>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</si>
  <si>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</si>
  <si>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</si>
  <si>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</si>
  <si>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</si>
  <si>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</si>
  <si>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</si>
  <si>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</si>
  <si>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</si>
  <si>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</si>
  <si>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</si>
  <si>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</si>
  <si>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</si>
  <si>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</si>
  <si>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</si>
  <si>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</si>
  <si>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</si>
  <si>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</si>
  <si>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</si>
  <si>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</si>
  <si>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</si>
  <si>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</si>
  <si>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</si>
  <si>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</si>
  <si>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</si>
  <si>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</si>
  <si>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</si>
  <si>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</si>
  <si>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</si>
  <si>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</si>
  <si>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</si>
  <si>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</si>
  <si>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</si>
  <si>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</si>
  <si>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</si>
  <si>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</si>
  <si>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</si>
  <si>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</si>
  <si>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</si>
  <si>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</si>
  <si>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</si>
  <si>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</si>
  <si>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</si>
  <si>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</si>
  <si>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</si>
  <si>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</si>
  <si>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</si>
  <si>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</si>
  <si>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</si>
  <si>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</si>
  <si>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</si>
  <si>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</si>
  <si>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</si>
  <si>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</si>
  <si>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</si>
  <si>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</si>
  <si>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</si>
  <si>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</si>
  <si>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</si>
  <si>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</si>
  <si>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</si>
  <si>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</si>
  <si>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</si>
  <si>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</si>
  <si>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</si>
  <si>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</si>
  <si>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</si>
  <si>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</si>
  <si>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</si>
  <si>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</si>
  <si>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</si>
  <si>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</si>
  <si>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</si>
  <si>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</si>
  <si>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</si>
  <si>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</si>
  <si>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</si>
  <si>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</si>
  <si>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</si>
  <si>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</si>
  <si>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</si>
  <si>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</si>
  <si>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</si>
  <si>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</si>
  <si>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</si>
  <si>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</si>
  <si>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</si>
  <si>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</si>
  <si>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</si>
  <si>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</si>
  <si>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</si>
  <si>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</si>
  <si>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</si>
  <si>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</si>
  <si>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</si>
  <si>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</si>
  <si>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</si>
  <si>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</si>
  <si>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</si>
  <si>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</si>
  <si>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</si>
  <si>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</si>
  <si>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</si>
  <si>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</si>
  <si>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</si>
  <si>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</si>
  <si>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</si>
  <si>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</si>
  <si>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</si>
  <si>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</si>
  <si>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</si>
  <si>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</si>
  <si>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</si>
  <si>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</si>
  <si>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</si>
  <si>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</si>
  <si>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</si>
  <si>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</si>
  <si>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</si>
  <si>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</si>
  <si>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</si>
  <si>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</si>
  <si>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</si>
  <si>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</si>
  <si>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</si>
  <si>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</si>
  <si>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</si>
  <si>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</si>
  <si>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</si>
  <si>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</si>
  <si>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</si>
  <si>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</si>
  <si>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</si>
  <si>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</si>
  <si>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</si>
  <si>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</si>
  <si>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</si>
  <si>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</si>
  <si>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</si>
  <si>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</si>
  <si>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</si>
  <si>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</si>
  <si>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</si>
  <si>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</si>
  <si>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</si>
  <si>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</si>
  <si>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</si>
  <si>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</si>
  <si>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</si>
  <si>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</si>
  <si>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</si>
  <si>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</si>
  <si>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</si>
  <si>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</si>
  <si>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</si>
  <si>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</si>
  <si>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</si>
  <si>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</si>
  <si>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</si>
  <si>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</si>
  <si>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</si>
  <si>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</si>
  <si>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</si>
  <si>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</si>
  <si>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</si>
  <si>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</si>
  <si>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</si>
  <si>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</si>
  <si>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</si>
  <si>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</si>
  <si>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</si>
  <si>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</si>
  <si>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</si>
  <si>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</si>
  <si>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</si>
  <si>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</si>
  <si>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</si>
  <si>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</si>
  <si>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</si>
  <si>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</si>
  <si>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</si>
  <si>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</si>
  <si>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</si>
  <si>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</si>
  <si>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</si>
  <si>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</si>
  <si>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</si>
  <si>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</si>
  <si>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</si>
  <si>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</si>
  <si>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</si>
  <si>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</si>
  <si>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</si>
  <si>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</si>
  <si>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</si>
  <si>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</si>
  <si>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</si>
  <si>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</si>
  <si>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</si>
  <si>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</si>
  <si>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</si>
  <si>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</si>
  <si>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</si>
  <si>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</si>
  <si>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</si>
  <si>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</si>
  <si>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</si>
  <si>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</si>
  <si>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</si>
  <si>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</si>
  <si>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</si>
  <si>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</si>
  <si>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</si>
  <si>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</si>
  <si>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</si>
  <si>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</si>
  <si>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</si>
  <si>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</si>
  <si>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</si>
  <si>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</si>
  <si>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</si>
  <si>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</si>
  <si>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</si>
  <si>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</si>
  <si>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</si>
  <si>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</si>
  <si>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</si>
  <si>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</si>
  <si>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</si>
  <si>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</si>
  <si>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</si>
  <si>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</si>
  <si>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</si>
  <si>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</si>
  <si>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</si>
  <si>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</si>
  <si>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</si>
  <si>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</si>
  <si>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</si>
  <si>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</si>
  <si>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</si>
  <si>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</si>
  <si>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</si>
  <si>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</si>
  <si>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</si>
  <si>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</si>
  <si>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</si>
  <si>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</si>
  <si>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</si>
  <si>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</si>
  <si>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</si>
  <si>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</si>
  <si>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</si>
  <si>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</si>
  <si>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</si>
  <si>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</si>
  <si>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</si>
  <si>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</si>
  <si>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</si>
  <si>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</si>
  <si>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</si>
  <si>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</si>
  <si>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</si>
  <si>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</si>
  <si>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</si>
  <si>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</si>
  <si>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</si>
  <si>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</si>
  <si>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</si>
  <si>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</si>
  <si>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</si>
  <si>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</si>
  <si>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</si>
  <si>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</si>
  <si>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</si>
  <si>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</si>
  <si>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</si>
  <si>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</si>
  <si>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</si>
  <si>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</si>
  <si>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</si>
  <si>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</si>
  <si>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</si>
  <si>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</si>
  <si>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</si>
  <si>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</si>
  <si>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</si>
  <si>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</si>
  <si>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</si>
  <si>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</si>
  <si>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</si>
  <si>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</si>
  <si>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</si>
  <si>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</si>
  <si>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</si>
  <si>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</si>
  <si>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</si>
  <si>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</si>
  <si>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</si>
  <si>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</si>
  <si>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</si>
  <si>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</si>
  <si>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</si>
  <si>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</si>
  <si>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</si>
  <si>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</si>
  <si>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</si>
  <si>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</si>
  <si>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</si>
  <si>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</si>
  <si>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</si>
  <si>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</si>
  <si>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</si>
  <si>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</si>
  <si>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</si>
  <si>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</si>
  <si>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</si>
  <si>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</si>
  <si>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</si>
  <si>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</si>
  <si>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</si>
  <si>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</si>
  <si>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</si>
  <si>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</si>
  <si>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</si>
  <si>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</si>
  <si>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</si>
  <si>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</si>
  <si>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</si>
  <si>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</si>
  <si>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</si>
  <si>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</si>
  <si>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</si>
  <si>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</si>
  <si>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</si>
  <si>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</si>
  <si>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</si>
  <si>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</si>
  <si>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</si>
  <si>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</si>
  <si>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</si>
  <si>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</si>
  <si>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</si>
  <si>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</si>
  <si>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</si>
  <si>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</si>
  <si>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</si>
  <si>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</si>
  <si>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</si>
  <si>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</si>
  <si>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</si>
  <si>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</si>
  <si>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</si>
  <si>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</si>
  <si>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</si>
  <si>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</si>
  <si>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</si>
  <si>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</si>
  <si>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</si>
  <si>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</si>
  <si>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</si>
  <si>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</si>
  <si>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</si>
  <si>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</si>
  <si>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</si>
  <si>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</si>
  <si>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</si>
  <si>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</si>
  <si>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</si>
  <si>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</si>
  <si>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</si>
  <si>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</si>
  <si>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</si>
  <si>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</si>
  <si>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</si>
  <si>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</si>
  <si>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</si>
  <si>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</si>
  <si>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</si>
  <si>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</si>
  <si>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</si>
  <si>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</si>
  <si>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</si>
  <si>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</si>
  <si>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</si>
  <si>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</si>
  <si>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</si>
  <si>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</si>
  <si>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</si>
  <si>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</si>
  <si>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</si>
  <si>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</si>
  <si>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</si>
  <si>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</si>
  <si>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</si>
  <si>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</si>
  <si>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</si>
  <si>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</si>
  <si>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</si>
  <si>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</si>
  <si>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</si>
  <si>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</si>
  <si>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</si>
  <si>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</si>
  <si>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</si>
  <si>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</si>
  <si>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</si>
  <si>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</si>
  <si>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</si>
  <si>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</si>
  <si>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</si>
  <si>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</si>
  <si>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</si>
  <si>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</si>
  <si>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</si>
  <si>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</si>
  <si>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</si>
  <si>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</si>
  <si>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</si>
  <si>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</si>
  <si>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</si>
  <si>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</si>
  <si>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</si>
  <si>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</si>
  <si>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</si>
  <si>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Avg. Rating</t>
  </si>
  <si>
    <t>5 * Calls</t>
  </si>
  <si>
    <t xml:space="preserve"> </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</si>
  <si>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</si>
  <si>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</si>
  <si>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</si>
  <si>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</si>
  <si>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</si>
  <si>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</si>
  <si>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</si>
  <si>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</si>
  <si>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</si>
  <si>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</si>
  <si>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</si>
  <si>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</si>
  <si>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</si>
  <si>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</si>
  <si>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</si>
  <si>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</si>
  <si>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</si>
  <si>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</si>
  <si>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</si>
  <si>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</si>
  <si>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</si>
  <si>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</si>
  <si>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</si>
  <si>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</si>
  <si>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</si>
  <si>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Sel. Amount</t>
  </si>
  <si>
    <t>Sel. Calls</t>
  </si>
  <si>
    <t>For Gaph</t>
  </si>
  <si>
    <t>Selected Rep</t>
  </si>
  <si>
    <t>Column Labels</t>
  </si>
  <si>
    <t>Total</t>
  </si>
  <si>
    <t xml:space="preserve">        </t>
  </si>
  <si>
    <r>
      <t>CALL CENTRE REPORT -</t>
    </r>
    <r>
      <rPr>
        <sz val="24"/>
        <color theme="0" tint="-0.499984740745262"/>
        <rFont val="Aptos Extrabold"/>
        <family val="2"/>
        <scheme val="major"/>
      </rPr>
      <t xml:space="preserve">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</si>
</sst>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3C09]#,##0"/>
  </numFmts>
  <fonts count="9"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b/>
      <sz val="10"/>
      <color theme="1"/>
      <name val="Aptos"/>
      <family val="2"/>
      <scheme val="minor"/>
    </font>
    <font>
      <b/>
      <sz val="24"/>
      <color theme="0" tint="-0.499984740745262"/>
      <name val="Aptos Extrabold"/>
      <family val="2"/>
      <scheme val="major"/>
    </font>
    <font>
      <sz val="24"/>
      <color theme="0" tint="-0.499984740745262"/>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2">
    <xf numFmtId="0" fontId="0" fillId="0" borderId="0"/>
    <xf numFmtId="9" fontId="4" fillId="0" borderId="0" applyFont="0" applyFill="0" applyBorder="0" applyAlignment="0" applyProtection="0"/>
  </cellStyleXfs>
  <cellXfs count="4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9" xfId="0" applyFill="1" applyBorder="1"/>
    <xf numFmtId="0" fontId="5" fillId="5" borderId="0" xfId="0" applyFont="1" applyFill="1"/>
    <xf numFmtId="0" fontId="5" fillId="5" borderId="12" xfId="0" applyFont="1" applyFill="1" applyBorder="1"/>
    <xf numFmtId="0" fontId="5" fillId="5" borderId="11" xfId="0" applyFont="1" applyFill="1" applyBorder="1" applyAlignment="1">
      <alignment horizontal="left" indent="1"/>
    </xf>
    <xf numFmtId="168" fontId="5" fillId="5" borderId="0" xfId="0" applyNumberFormat="1" applyFont="1" applyFill="1" applyAlignment="1">
      <alignment horizontal="right" vertical="top"/>
    </xf>
    <xf numFmtId="168" fontId="5" fillId="5" borderId="12" xfId="0" applyNumberFormat="1" applyFont="1" applyFill="1" applyBorder="1" applyAlignment="1">
      <alignment horizontal="right" vertical="top"/>
    </xf>
    <xf numFmtId="0" fontId="5" fillId="5" borderId="6" xfId="0" applyFont="1" applyFill="1" applyBorder="1" applyAlignment="1">
      <alignment horizontal="left" indent="1"/>
    </xf>
    <xf numFmtId="168" fontId="5" fillId="5" borderId="13" xfId="0" applyNumberFormat="1" applyFont="1" applyFill="1" applyBorder="1" applyAlignment="1">
      <alignment horizontal="right" vertical="top"/>
    </xf>
    <xf numFmtId="168" fontId="5" fillId="5" borderId="4" xfId="0" applyNumberFormat="1" applyFont="1" applyFill="1" applyBorder="1" applyAlignment="1">
      <alignment horizontal="right" vertical="top"/>
    </xf>
    <xf numFmtId="0" fontId="1" fillId="5" borderId="10" xfId="0" applyFont="1" applyFill="1" applyBorder="1"/>
    <xf numFmtId="0" fontId="1" fillId="5" borderId="7" xfId="0" applyFont="1" applyFill="1" applyBorder="1"/>
    <xf numFmtId="0" fontId="6" fillId="5" borderId="11" xfId="0" applyFont="1" applyFill="1" applyBorder="1"/>
    <xf numFmtId="9" fontId="0" fillId="0" borderId="0" xfId="1" applyFont="1"/>
    <xf numFmtId="0" fontId="7" fillId="3" borderId="0" xfId="0" applyFont="1" applyFill="1"/>
  </cellXfs>
  <cellStyles count="2">
    <cellStyle name="Normal" xfId="0" builtinId="0"/>
    <cellStyle name="Percent" xfId="1" builtinId="5"/>
  </cellStyles>
  <dxfs count="22">
    <dxf>
      <fill>
        <patternFill>
          <bgColor theme="8" tint="0.59996337778862885"/>
        </patternFill>
      </fill>
      <border>
        <left style="thin">
          <color theme="1" tint="0.14996795556505021"/>
        </left>
        <right style="thin">
          <color theme="1" tint="0.1499679555650502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8"/>
        </patternFill>
      </fill>
    </dxf>
    <dxf>
      <font>
        <color theme="1"/>
      </font>
    </dxf>
    <dxf>
      <fill>
        <patternFill patternType="solid">
          <bgColor theme="9"/>
        </patternFill>
      </fill>
    </dxf>
    <dxf>
      <font>
        <color rgb="FFFF0000"/>
      </font>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1"/>
    </tableStyle>
    <tableStyle name="SlicerStyleDark5 2" pivot="0" table="0" count="10" xr9:uid="{5615AF77-76C2-4BAA-9F6B-C16BB01A5731}">
      <tableStyleElement type="wholeTable" dxfId="20"/>
      <tableStyleElement type="headerRow" dxfId="19"/>
    </tableStyle>
  </tableStyles>
  <colors>
    <mruColors>
      <color rgb="FFFF802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Report.xlsx]pivots!weekday trend</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802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pivots!$H$20</c:f>
              <c:strCache>
                <c:ptCount val="1"/>
                <c:pt idx="0">
                  <c:v>Total</c:v>
                </c:pt>
              </c:strCache>
            </c:strRef>
          </c:tx>
          <c:spPr>
            <a:solidFill>
              <a:srgbClr val="FF802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pivots!$G$21:$G$28</c:f>
              <c:strCache>
                <c:ptCount val="7"/>
                <c:pt idx="0">
                  <c:v>Sunday</c:v>
                </c:pt>
                <c:pt idx="1">
                  <c:v>Monday</c:v>
                </c:pt>
                <c:pt idx="2">
                  <c:v>Tuesday</c:v>
                </c:pt>
                <c:pt idx="3">
                  <c:v>Wednesday</c:v>
                </c:pt>
                <c:pt idx="4">
                  <c:v>Thursday</c:v>
                </c:pt>
                <c:pt idx="5">
                  <c:v>Friday</c:v>
                </c:pt>
                <c:pt idx="6">
                  <c:v>Saturday</c:v>
                </c:pt>
              </c:strCache>
            </c:strRef>
          </c:cat>
          <c:val>
            <c:numRef>
              <c:f>pivots!$H$21:$H$28</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538C-4F94-848F-D9C8AA5B687E}"/>
            </c:ext>
          </c:extLst>
        </c:ser>
        <c:dLbls>
          <c:showLegendKey val="0"/>
          <c:showVal val="0"/>
          <c:showCatName val="0"/>
          <c:showSerName val="0"/>
          <c:showPercent val="0"/>
          <c:showBubbleSize val="0"/>
        </c:dLbls>
        <c:gapWidth val="25"/>
        <c:axId val="1609730288"/>
        <c:axId val="934894896"/>
      </c:barChart>
      <c:catAx>
        <c:axId val="16097302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94896"/>
        <c:crosses val="autoZero"/>
        <c:auto val="1"/>
        <c:lblAlgn val="ctr"/>
        <c:lblOffset val="100"/>
        <c:noMultiLvlLbl val="0"/>
      </c:catAx>
      <c:valAx>
        <c:axId val="934894896"/>
        <c:scaling>
          <c:orientation val="minMax"/>
        </c:scaling>
        <c:delete val="1"/>
        <c:axPos val="b"/>
        <c:numFmt formatCode="#,##0" sourceLinked="1"/>
        <c:majorTickMark val="out"/>
        <c:minorTickMark val="none"/>
        <c:tickLblPos val="nextTo"/>
        <c:crossAx val="1609730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Report.xlsx]pivots!monthly trend</c:name>
    <c:fmtId val="8"/>
  </c:pivotSource>
  <c:chart>
    <c:title>
      <c:tx>
        <c:rich>
          <a:bodyPr rot="0" spcFirstLastPara="1" vertOverflow="ellipsis" vert="horz" wrap="square" anchor="ctr" anchorCtr="1"/>
          <a:lstStyle/>
          <a:p>
            <a:pPr>
              <a:defRPr sz="1800" b="1" i="0" u="none" strike="noStrike" kern="1200" spc="0" baseline="0">
                <a:solidFill>
                  <a:srgbClr val="FF8021"/>
                </a:solidFill>
                <a:latin typeface="+mj-lt"/>
                <a:ea typeface="+mn-ea"/>
                <a:cs typeface="+mn-cs"/>
              </a:defRPr>
            </a:pPr>
            <a:r>
              <a:rPr lang="en-US" sz="1800" b="1">
                <a:solidFill>
                  <a:srgbClr val="FF8021"/>
                </a:solidFill>
                <a:latin typeface="+mj-lt"/>
              </a:rPr>
              <a:t>Call Trend</a:t>
            </a:r>
          </a:p>
        </c:rich>
      </c:tx>
      <c:layout>
        <c:manualLayout>
          <c:xMode val="edge"/>
          <c:yMode val="edge"/>
          <c:x val="3.2063840463923812E-2"/>
          <c:y val="3.240740740740740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FF802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pivots!$C$20</c:f>
              <c:strCache>
                <c:ptCount val="1"/>
                <c:pt idx="0">
                  <c:v>Call Count2</c:v>
                </c:pt>
              </c:strCache>
            </c:strRef>
          </c:tx>
          <c:spPr>
            <a:gradFill flip="none" rotWithShape="1">
              <a:gsLst>
                <a:gs pos="0">
                  <a:schemeClr val="accent6">
                    <a:lumMod val="60000"/>
                    <a:lumOff val="40000"/>
                  </a:schemeClr>
                </a:gs>
                <a:gs pos="100000">
                  <a:schemeClr val="accent6"/>
                </a:gs>
              </a:gsLst>
              <a:lin ang="16200000" scaled="1"/>
              <a:tileRect/>
            </a:gradFill>
            <a:ln>
              <a:no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0-B9DF-4480-AC38-16C69A81FE67}"/>
            </c:ext>
          </c:extLst>
        </c:ser>
        <c:dLbls>
          <c:showLegendKey val="0"/>
          <c:showVal val="0"/>
          <c:showCatName val="0"/>
          <c:showSerName val="0"/>
          <c:showPercent val="0"/>
          <c:showBubbleSize val="0"/>
        </c:dLbls>
        <c:axId val="1057372224"/>
        <c:axId val="934847376"/>
      </c:areaChart>
      <c:lineChart>
        <c:grouping val="standard"/>
        <c:varyColors val="0"/>
        <c:ser>
          <c:idx val="0"/>
          <c:order val="0"/>
          <c:tx>
            <c:strRef>
              <c:f>pivots!$B$20</c:f>
              <c:strCache>
                <c:ptCount val="1"/>
                <c:pt idx="0">
                  <c:v>Call Count</c:v>
                </c:pt>
              </c:strCache>
            </c:strRef>
          </c:tx>
          <c:spPr>
            <a:ln w="28575" cap="rnd">
              <a:solidFill>
                <a:schemeClr val="accent6"/>
              </a:solidFill>
              <a:round/>
            </a:ln>
            <a:effectLst/>
          </c:spPr>
          <c:marker>
            <c:symbol val="circle"/>
            <c:size val="7"/>
            <c:spPr>
              <a:solidFill>
                <a:schemeClr val="bg1">
                  <a:lumMod val="95000"/>
                </a:schemeClr>
              </a:solidFill>
              <a:ln w="25400">
                <a:solidFill>
                  <a:schemeClr val="tx1">
                    <a:lumMod val="95000"/>
                    <a:lumOff val="5000"/>
                  </a:schemeClr>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1-B9DF-4480-AC38-16C69A81FE67}"/>
            </c:ext>
          </c:extLst>
        </c:ser>
        <c:dLbls>
          <c:showLegendKey val="0"/>
          <c:showVal val="0"/>
          <c:showCatName val="0"/>
          <c:showSerName val="0"/>
          <c:showPercent val="0"/>
          <c:showBubbleSize val="0"/>
        </c:dLbls>
        <c:marker val="1"/>
        <c:smooth val="0"/>
        <c:axId val="1057372224"/>
        <c:axId val="934847376"/>
      </c:lineChart>
      <c:catAx>
        <c:axId val="105737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47376"/>
        <c:crosses val="autoZero"/>
        <c:auto val="1"/>
        <c:lblAlgn val="ctr"/>
        <c:lblOffset val="100"/>
        <c:noMultiLvlLbl val="0"/>
      </c:catAx>
      <c:valAx>
        <c:axId val="934847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37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FF8021"/>
                </a:solidFill>
                <a:latin typeface="+mj-lt"/>
                <a:ea typeface="+mn-ea"/>
                <a:cs typeface="+mn-cs"/>
              </a:defRPr>
            </a:pPr>
            <a:r>
              <a:rPr lang="en-US" sz="1800" b="1">
                <a:solidFill>
                  <a:srgbClr val="FF8021"/>
                </a:solidFill>
                <a:latin typeface="+mj-lt"/>
              </a:rPr>
              <a:t>Calls</a:t>
            </a:r>
          </a:p>
        </c:rich>
      </c:tx>
      <c:layout>
        <c:manualLayout>
          <c:xMode val="edge"/>
          <c:yMode val="edge"/>
          <c:x val="4.8872603413625801E-2"/>
          <c:y val="2.49694190153594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FF8021"/>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pivots!$E$42:$E$46</c:f>
              <c:strCache>
                <c:ptCount val="5"/>
                <c:pt idx="0">
                  <c:v>R01</c:v>
                </c:pt>
                <c:pt idx="1">
                  <c:v>R02</c:v>
                </c:pt>
                <c:pt idx="2">
                  <c:v>R03</c:v>
                </c:pt>
                <c:pt idx="3">
                  <c:v>R04</c:v>
                </c:pt>
                <c:pt idx="4">
                  <c:v>R05</c:v>
                </c:pt>
              </c:strCache>
            </c:strRef>
          </c:cat>
          <c:val>
            <c:numRef>
              <c:f>pivots!$F$42:$F$46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E15B-45F1-BEE7-77EADC18B807}"/>
            </c:ext>
          </c:extLst>
        </c:ser>
        <c:ser>
          <c:idx val="1"/>
          <c:order val="1"/>
          <c:tx>
            <c:strRef>
              <c:f>pivots!$H$41</c:f>
              <c:strCache>
                <c:ptCount val="1"/>
                <c:pt idx="0">
                  <c:v>Sel. Calls</c:v>
                </c:pt>
              </c:strCache>
            </c:strRef>
          </c:tx>
          <c:spPr>
            <a:gradFill flip="none" rotWithShape="1">
              <a:gsLst>
                <a:gs pos="2000">
                  <a:schemeClr val="accent5">
                    <a:lumMod val="60000"/>
                    <a:lumOff val="40000"/>
                  </a:schemeClr>
                </a:gs>
                <a:gs pos="100000">
                  <a:srgbClr val="FF8021"/>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pivots!$H$42:$H$46</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E15B-45F1-BEE7-77EADC18B807}"/>
            </c:ext>
          </c:extLst>
        </c:ser>
        <c:dLbls>
          <c:dLblPos val="outEnd"/>
          <c:showLegendKey val="0"/>
          <c:showVal val="1"/>
          <c:showCatName val="0"/>
          <c:showSerName val="0"/>
          <c:showPercent val="0"/>
          <c:showBubbleSize val="0"/>
        </c:dLbls>
        <c:gapWidth val="25"/>
        <c:overlap val="100"/>
        <c:axId val="1609715440"/>
        <c:axId val="934813296"/>
      </c:barChart>
      <c:catAx>
        <c:axId val="16097154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13296"/>
        <c:crosses val="autoZero"/>
        <c:auto val="1"/>
        <c:lblAlgn val="ctr"/>
        <c:lblOffset val="100"/>
        <c:noMultiLvlLbl val="0"/>
      </c:catAx>
      <c:valAx>
        <c:axId val="934813296"/>
        <c:scaling>
          <c:orientation val="minMax"/>
          <c:min val="0"/>
        </c:scaling>
        <c:delete val="1"/>
        <c:axPos val="t"/>
        <c:numFmt formatCode="General" sourceLinked="1"/>
        <c:majorTickMark val="none"/>
        <c:minorTickMark val="none"/>
        <c:tickLblPos val="nextTo"/>
        <c:crossAx val="1609715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rgbClr val="C00000"/>
                </a:solidFill>
                <a:latin typeface="+mj-lt"/>
                <a:ea typeface="+mn-ea"/>
                <a:cs typeface="+mn-cs"/>
              </a:defRPr>
            </a:pPr>
            <a:r>
              <a:rPr lang="en-US" sz="1800" b="1">
                <a:solidFill>
                  <a:srgbClr val="C00000"/>
                </a:solidFill>
                <a:latin typeface="+mj-lt"/>
              </a:rPr>
              <a:t>Amount</a:t>
            </a:r>
          </a:p>
        </c:rich>
      </c:tx>
      <c:layout>
        <c:manualLayout>
          <c:xMode val="edge"/>
          <c:yMode val="edge"/>
          <c:x val="5.5062946927757282E-2"/>
          <c:y val="2.899571750538981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C00000"/>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pivots!$E$42:$E$46</c:f>
              <c:strCache>
                <c:ptCount val="5"/>
                <c:pt idx="0">
                  <c:v>R01</c:v>
                </c:pt>
                <c:pt idx="1">
                  <c:v>R02</c:v>
                </c:pt>
                <c:pt idx="2">
                  <c:v>R03</c:v>
                </c:pt>
                <c:pt idx="3">
                  <c:v>R04</c:v>
                </c:pt>
                <c:pt idx="4">
                  <c:v>R05</c:v>
                </c:pt>
              </c:strCache>
            </c:strRef>
          </c:cat>
          <c:val>
            <c:numRef>
              <c:f>pivots!$G$42:$G$46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27B-41F9-A1ED-DC455CCCE552}"/>
            </c:ext>
          </c:extLst>
        </c:ser>
        <c:ser>
          <c:idx val="1"/>
          <c:order val="1"/>
          <c:tx>
            <c:strRef>
              <c:f>pivots!$I$41</c:f>
              <c:strCache>
                <c:ptCount val="1"/>
                <c:pt idx="0">
                  <c:v>Sel. Amount</c:v>
                </c:pt>
              </c:strCache>
            </c:strRef>
          </c:tx>
          <c:spPr>
            <a:gradFill>
              <a:gsLst>
                <a:gs pos="2000">
                  <a:schemeClr val="accent6">
                    <a:lumMod val="60000"/>
                    <a:lumOff val="40000"/>
                  </a:schemeClr>
                </a:gs>
                <a:gs pos="100000">
                  <a:schemeClr val="accent6">
                    <a:lumMod val="75000"/>
                  </a:schemeClr>
                </a:gs>
              </a:gsLst>
              <a:lin ang="0" scaled="1"/>
            </a:gradFill>
            <a:ln>
              <a:noFill/>
            </a:ln>
            <a:effectLst/>
          </c:spPr>
          <c:invertIfNegative val="0"/>
          <c:val>
            <c:numRef>
              <c:f>pivots!$I$42:$I$46</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527B-41F9-A1ED-DC455CCCE552}"/>
            </c:ext>
          </c:extLst>
        </c:ser>
        <c:dLbls>
          <c:showLegendKey val="0"/>
          <c:showVal val="0"/>
          <c:showCatName val="0"/>
          <c:showSerName val="0"/>
          <c:showPercent val="0"/>
          <c:showBubbleSize val="0"/>
        </c:dLbls>
        <c:gapWidth val="25"/>
        <c:overlap val="100"/>
        <c:axId val="1609715904"/>
        <c:axId val="934904496"/>
      </c:barChart>
      <c:catAx>
        <c:axId val="1609715904"/>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904496"/>
        <c:crosses val="autoZero"/>
        <c:auto val="1"/>
        <c:lblAlgn val="ctr"/>
        <c:lblOffset val="100"/>
        <c:noMultiLvlLbl val="0"/>
      </c:catAx>
      <c:valAx>
        <c:axId val="934904496"/>
        <c:scaling>
          <c:orientation val="minMax"/>
        </c:scaling>
        <c:delete val="1"/>
        <c:axPos val="t"/>
        <c:numFmt formatCode="\$#,###.0,&quot;k&quot;" sourceLinked="1"/>
        <c:majorTickMark val="out"/>
        <c:minorTickMark val="none"/>
        <c:tickLblPos val="nextTo"/>
        <c:crossAx val="16097159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FF8021"/>
                </a:solidFill>
                <a:latin typeface="+mj-lt"/>
              </a:rPr>
              <a:t>Female</a:t>
            </a:r>
            <a:r>
              <a:rPr lang="en-US" sz="1400" b="1" baseline="0">
                <a:solidFill>
                  <a:srgbClr val="FF8021"/>
                </a:solidFill>
                <a:latin typeface="+mj-lt"/>
              </a:rPr>
              <a:t> </a:t>
            </a:r>
            <a:r>
              <a:rPr lang="en-US" sz="1400" b="1" baseline="0">
                <a:latin typeface="+mj-lt"/>
              </a:rPr>
              <a:t>v/s</a:t>
            </a:r>
            <a:r>
              <a:rPr lang="en-US" sz="1400" b="1" baseline="0">
                <a:solidFill>
                  <a:schemeClr val="accent4"/>
                </a:solidFill>
                <a:latin typeface="+mj-lt"/>
              </a:rPr>
              <a:t> Male </a:t>
            </a:r>
            <a:r>
              <a:rPr lang="en-US" sz="1400" b="1" baseline="0">
                <a:latin typeface="+mj-lt"/>
              </a:rPr>
              <a:t>Callers</a:t>
            </a:r>
          </a:p>
        </c:rich>
      </c:tx>
      <c:layout>
        <c:manualLayout>
          <c:xMode val="edge"/>
          <c:yMode val="edge"/>
          <c:x val="0.12662973196164459"/>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8021"/>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pivots!$B$61:$B$62</c:f>
              <c:strCache>
                <c:ptCount val="1"/>
                <c:pt idx="0">
                  <c:v>Female</c:v>
                </c:pt>
              </c:strCache>
            </c:strRef>
          </c:tx>
          <c:spPr>
            <a:solidFill>
              <a:srgbClr val="FF8021"/>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pivots!$B$63:$B$66</c:f>
              <c:numCache>
                <c:formatCode>#,##0</c:formatCode>
                <c:ptCount val="3"/>
                <c:pt idx="0">
                  <c:v>144</c:v>
                </c:pt>
                <c:pt idx="1">
                  <c:v>326</c:v>
                </c:pt>
                <c:pt idx="2">
                  <c:v>129</c:v>
                </c:pt>
              </c:numCache>
            </c:numRef>
          </c:val>
          <c:extLst>
            <c:ext xmlns:c16="http://schemas.microsoft.com/office/drawing/2014/chart" uri="{C3380CC4-5D6E-409C-BE32-E72D297353CC}">
              <c16:uniqueId val="{00000000-74BC-413E-A7EA-E4DF0603B6C0}"/>
            </c:ext>
          </c:extLst>
        </c:ser>
        <c:ser>
          <c:idx val="1"/>
          <c:order val="1"/>
          <c:tx>
            <c:strRef>
              <c:f>pivots!$C$61:$C$62</c:f>
              <c:strCache>
                <c:ptCount val="1"/>
                <c:pt idx="0">
                  <c:v>Male</c:v>
                </c:pt>
              </c:strCache>
            </c:strRef>
          </c:tx>
          <c:spPr>
            <a:solidFill>
              <a:schemeClr val="accent4"/>
            </a:solidFill>
            <a:ln>
              <a:noFill/>
            </a:ln>
            <a:effectLst/>
          </c:spPr>
          <c:invertIfNegative val="0"/>
          <c:dLbls>
            <c:spPr>
              <a:solidFill>
                <a:schemeClr val="bg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pivots!$A$63:$A$66</c:f>
              <c:strCache>
                <c:ptCount val="3"/>
                <c:pt idx="0">
                  <c:v>Cincinnati</c:v>
                </c:pt>
                <c:pt idx="1">
                  <c:v>Cleveland</c:v>
                </c:pt>
                <c:pt idx="2">
                  <c:v>Columbus</c:v>
                </c:pt>
              </c:strCache>
            </c:strRef>
          </c:cat>
          <c:val>
            <c:numRef>
              <c:f>pivots!$C$63:$C$66</c:f>
              <c:numCache>
                <c:formatCode>#,##0</c:formatCode>
                <c:ptCount val="3"/>
                <c:pt idx="0">
                  <c:v>132</c:v>
                </c:pt>
                <c:pt idx="1">
                  <c:v>63</c:v>
                </c:pt>
                <c:pt idx="2">
                  <c:v>206</c:v>
                </c:pt>
              </c:numCache>
            </c:numRef>
          </c:val>
          <c:extLst>
            <c:ext xmlns:c16="http://schemas.microsoft.com/office/drawing/2014/chart" uri="{C3380CC4-5D6E-409C-BE32-E72D297353CC}">
              <c16:uniqueId val="{00000001-74BC-413E-A7EA-E4DF0603B6C0}"/>
            </c:ext>
          </c:extLst>
        </c:ser>
        <c:dLbls>
          <c:dLblPos val="ctr"/>
          <c:showLegendKey val="0"/>
          <c:showVal val="1"/>
          <c:showCatName val="0"/>
          <c:showSerName val="0"/>
          <c:showPercent val="0"/>
          <c:showBubbleSize val="0"/>
        </c:dLbls>
        <c:gapWidth val="25"/>
        <c:overlap val="100"/>
        <c:axId val="1634524560"/>
        <c:axId val="934804176"/>
      </c:barChart>
      <c:catAx>
        <c:axId val="163452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804176"/>
        <c:crosses val="autoZero"/>
        <c:auto val="1"/>
        <c:lblAlgn val="ctr"/>
        <c:lblOffset val="100"/>
        <c:noMultiLvlLbl val="0"/>
      </c:catAx>
      <c:valAx>
        <c:axId val="934804176"/>
        <c:scaling>
          <c:orientation val="minMax"/>
        </c:scaling>
        <c:delete val="1"/>
        <c:axPos val="l"/>
        <c:numFmt formatCode="0%" sourceLinked="1"/>
        <c:majorTickMark val="none"/>
        <c:minorTickMark val="none"/>
        <c:tickLblPos val="nextTo"/>
        <c:crossAx val="163452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Report.xlsx]pivots!rep satisfaction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pivots!$B$71</c:f>
              <c:strCache>
                <c:ptCount val="1"/>
                <c:pt idx="0">
                  <c:v>Total</c:v>
                </c:pt>
              </c:strCache>
            </c:strRef>
          </c:tx>
          <c:spPr>
            <a:solidFill>
              <a:schemeClr val="accent1"/>
            </a:solidFill>
            <a:ln>
              <a:noFill/>
            </a:ln>
            <a:effectLst/>
          </c:spPr>
          <c:invertIfNegative val="0"/>
          <c:cat>
            <c:strRef>
              <c:f>pivots!$A$72:$A$78</c:f>
              <c:strCache>
                <c:ptCount val="6"/>
                <c:pt idx="0">
                  <c:v>2</c:v>
                </c:pt>
                <c:pt idx="1">
                  <c:v>3</c:v>
                </c:pt>
                <c:pt idx="2">
                  <c:v>4</c:v>
                </c:pt>
                <c:pt idx="3">
                  <c:v>5</c:v>
                </c:pt>
                <c:pt idx="4">
                  <c:v>1</c:v>
                </c:pt>
                <c:pt idx="5">
                  <c:v>0</c:v>
                </c:pt>
              </c:strCache>
            </c:strRef>
          </c:cat>
          <c:val>
            <c:numRef>
              <c:f>pivots!$B$72:$B$78</c:f>
              <c:numCache>
                <c:formatCode>#,##0</c:formatCode>
                <c:ptCount val="6"/>
                <c:pt idx="0">
                  <c:v>11</c:v>
                </c:pt>
                <c:pt idx="1">
                  <c:v>46</c:v>
                </c:pt>
                <c:pt idx="2">
                  <c:v>88</c:v>
                </c:pt>
                <c:pt idx="3">
                  <c:v>60</c:v>
                </c:pt>
                <c:pt idx="4">
                  <c:v>1</c:v>
                </c:pt>
                <c:pt idx="5">
                  <c:v>1</c:v>
                </c:pt>
              </c:numCache>
            </c:numRef>
          </c:val>
          <c:extLst>
            <c:ext xmlns:c16="http://schemas.microsoft.com/office/drawing/2014/chart" uri="{C3380CC4-5D6E-409C-BE32-E72D297353CC}">
              <c16:uniqueId val="{00000000-A893-4B2A-A0BE-A56AF8B119E1}"/>
            </c:ext>
          </c:extLst>
        </c:ser>
        <c:dLbls>
          <c:showLegendKey val="0"/>
          <c:showVal val="0"/>
          <c:showCatName val="0"/>
          <c:showSerName val="0"/>
          <c:showPercent val="0"/>
          <c:showBubbleSize val="0"/>
        </c:dLbls>
        <c:gapWidth val="25"/>
        <c:overlap val="100"/>
        <c:axId val="1634563536"/>
        <c:axId val="934798416"/>
      </c:barChart>
      <c:catAx>
        <c:axId val="1634563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798416"/>
        <c:crosses val="autoZero"/>
        <c:auto val="1"/>
        <c:lblAlgn val="ctr"/>
        <c:lblOffset val="100"/>
        <c:noMultiLvlLbl val="0"/>
      </c:catAx>
      <c:valAx>
        <c:axId val="93479841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563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335</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4229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86590</xdr:colOff>
      <xdr:row>3</xdr:row>
      <xdr:rowOff>8658</xdr:rowOff>
    </xdr:from>
    <xdr:to>
      <xdr:col>4</xdr:col>
      <xdr:colOff>0</xdr:colOff>
      <xdr:row>7</xdr:row>
      <xdr:rowOff>173182</xdr:rowOff>
    </xdr:to>
    <xdr:sp macro="" textlink="pivots!A4">
      <xdr:nvSpPr>
        <xdr:cNvPr id="8" name="Rectangle 7">
          <a:extLst>
            <a:ext uri="{FF2B5EF4-FFF2-40B4-BE49-F238E27FC236}">
              <a16:creationId xmlns:a16="http://schemas.microsoft.com/office/drawing/2014/main" id="{A7166723-FAFC-35A4-67B4-31BE0A31597C}"/>
            </a:ext>
          </a:extLst>
        </xdr:cNvPr>
        <xdr:cNvSpPr/>
      </xdr:nvSpPr>
      <xdr:spPr>
        <a:xfrm>
          <a:off x="181840" y="554181"/>
          <a:ext cx="1342160" cy="891887"/>
        </a:xfrm>
        <a:prstGeom prst="rect">
          <a:avLst/>
        </a:prstGeom>
        <a:solidFill>
          <a:schemeClr val="accent6"/>
        </a:solidFill>
        <a:ln>
          <a:noFill/>
        </a:ln>
        <a:effectLst>
          <a:outerShdw blurRad="254000" dist="127000" dir="2700000" algn="tl" rotWithShape="0">
            <a:prstClr val="black">
              <a:alpha val="50000"/>
            </a:prstClr>
          </a:outerShdw>
          <a:reflection stA="50000"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9EA50B-98AE-48FD-A089-6AEC44DA6CD0}" type="TxLink">
            <a:rPr lang="en-US" sz="2800" b="0" i="0" u="none" strike="noStrike">
              <a:solidFill>
                <a:schemeClr val="bg1"/>
              </a:solidFill>
              <a:latin typeface="+mj-lt"/>
            </a:rPr>
            <a:pPr algn="ctr"/>
            <a:t>1,000</a:t>
          </a:fld>
          <a:endParaRPr lang="en-US" sz="2800">
            <a:solidFill>
              <a:schemeClr val="bg1"/>
            </a:solidFill>
            <a:latin typeface="+mj-lt"/>
          </a:endParaRPr>
        </a:p>
      </xdr:txBody>
    </xdr:sp>
    <xdr:clientData/>
  </xdr:twoCellAnchor>
  <xdr:twoCellAnchor>
    <xdr:from>
      <xdr:col>2</xdr:col>
      <xdr:colOff>112568</xdr:colOff>
      <xdr:row>3</xdr:row>
      <xdr:rowOff>43295</xdr:rowOff>
    </xdr:from>
    <xdr:to>
      <xdr:col>3</xdr:col>
      <xdr:colOff>562841</xdr:colOff>
      <xdr:row>4</xdr:row>
      <xdr:rowOff>103909</xdr:rowOff>
    </xdr:to>
    <xdr:sp macro="" textlink="">
      <xdr:nvSpPr>
        <xdr:cNvPr id="9" name="TextBox 8">
          <a:extLst>
            <a:ext uri="{FF2B5EF4-FFF2-40B4-BE49-F238E27FC236}">
              <a16:creationId xmlns:a16="http://schemas.microsoft.com/office/drawing/2014/main" id="{4157A2FB-F40C-F644-EAD4-3DC55FD2ACA7}"/>
            </a:ext>
          </a:extLst>
        </xdr:cNvPr>
        <xdr:cNvSpPr txBox="1"/>
      </xdr:nvSpPr>
      <xdr:spPr>
        <a:xfrm>
          <a:off x="303068" y="588818"/>
          <a:ext cx="1117023" cy="24245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a:p>
          <a:pPr algn="ctr"/>
          <a:endParaRPr lang="en-IN" sz="1100">
            <a:solidFill>
              <a:schemeClr val="bg1"/>
            </a:solidFill>
            <a:latin typeface="+mj-lt"/>
          </a:endParaRPr>
        </a:p>
      </xdr:txBody>
    </xdr:sp>
    <xdr:clientData/>
  </xdr:twoCellAnchor>
  <xdr:twoCellAnchor editAs="oneCell">
    <xdr:from>
      <xdr:col>2</xdr:col>
      <xdr:colOff>51366</xdr:colOff>
      <xdr:row>3</xdr:row>
      <xdr:rowOff>77509</xdr:rowOff>
    </xdr:from>
    <xdr:to>
      <xdr:col>2</xdr:col>
      <xdr:colOff>221481</xdr:colOff>
      <xdr:row>4</xdr:row>
      <xdr:rowOff>61657</xdr:rowOff>
    </xdr:to>
    <xdr:pic>
      <xdr:nvPicPr>
        <xdr:cNvPr id="10" name="Graphic 9" descr="Receiver with solid fill">
          <a:extLst>
            <a:ext uri="{FF2B5EF4-FFF2-40B4-BE49-F238E27FC236}">
              <a16:creationId xmlns:a16="http://schemas.microsoft.com/office/drawing/2014/main" id="{195FD8FD-254D-4674-98C3-1DB2FA775AF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850943">
          <a:off x="241866" y="623032"/>
          <a:ext cx="170115" cy="165988"/>
        </a:xfrm>
        <a:prstGeom prst="rect">
          <a:avLst/>
        </a:prstGeom>
      </xdr:spPr>
    </xdr:pic>
    <xdr:clientData/>
  </xdr:twoCellAnchor>
  <xdr:twoCellAnchor>
    <xdr:from>
      <xdr:col>2</xdr:col>
      <xdr:colOff>207817</xdr:colOff>
      <xdr:row>6</xdr:row>
      <xdr:rowOff>77932</xdr:rowOff>
    </xdr:from>
    <xdr:to>
      <xdr:col>3</xdr:col>
      <xdr:colOff>424295</xdr:colOff>
      <xdr:row>7</xdr:row>
      <xdr:rowOff>103909</xdr:rowOff>
    </xdr:to>
    <xdr:sp macro="" textlink="pivots!A11">
      <xdr:nvSpPr>
        <xdr:cNvPr id="11" name="TextBox 10">
          <a:extLst>
            <a:ext uri="{FF2B5EF4-FFF2-40B4-BE49-F238E27FC236}">
              <a16:creationId xmlns:a16="http://schemas.microsoft.com/office/drawing/2014/main" id="{3D31D3E9-8326-BE8E-E3D4-947BCE851211}"/>
            </a:ext>
          </a:extLst>
        </xdr:cNvPr>
        <xdr:cNvSpPr txBox="1"/>
      </xdr:nvSpPr>
      <xdr:spPr>
        <a:xfrm>
          <a:off x="398317" y="1168977"/>
          <a:ext cx="883228"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03795C-AC6C-4847-B0DB-B2A6EFD37773}" type="TxLink">
            <a:rPr lang="en-US" sz="1400" b="0" i="0" u="none" strike="noStrike">
              <a:solidFill>
                <a:schemeClr val="bg1"/>
              </a:solidFill>
              <a:latin typeface="Aptos"/>
            </a:rPr>
            <a:pPr algn="ctr"/>
            <a:t>207</a:t>
          </a:fld>
          <a:endParaRPr lang="en-IN" sz="1400">
            <a:solidFill>
              <a:schemeClr val="bg1"/>
            </a:solidFill>
          </a:endParaRPr>
        </a:p>
      </xdr:txBody>
    </xdr:sp>
    <xdr:clientData/>
  </xdr:twoCellAnchor>
  <xdr:twoCellAnchor>
    <xdr:from>
      <xdr:col>2</xdr:col>
      <xdr:colOff>0</xdr:colOff>
      <xdr:row>10</xdr:row>
      <xdr:rowOff>0</xdr:rowOff>
    </xdr:from>
    <xdr:to>
      <xdr:col>4</xdr:col>
      <xdr:colOff>8660</xdr:colOff>
      <xdr:row>14</xdr:row>
      <xdr:rowOff>164523</xdr:rowOff>
    </xdr:to>
    <xdr:sp macro="" textlink="pivots!B4">
      <xdr:nvSpPr>
        <xdr:cNvPr id="12" name="Rectangle 11">
          <a:extLst>
            <a:ext uri="{FF2B5EF4-FFF2-40B4-BE49-F238E27FC236}">
              <a16:creationId xmlns:a16="http://schemas.microsoft.com/office/drawing/2014/main" id="{2A1C95EB-FB94-4D4D-BFA2-1442BF0C8DC5}"/>
            </a:ext>
          </a:extLst>
        </xdr:cNvPr>
        <xdr:cNvSpPr/>
      </xdr:nvSpPr>
      <xdr:spPr>
        <a:xfrm>
          <a:off x="184727" y="1847273"/>
          <a:ext cx="1347933" cy="903432"/>
        </a:xfrm>
        <a:prstGeom prst="rect">
          <a:avLst/>
        </a:prstGeom>
        <a:solidFill>
          <a:schemeClr val="accent6"/>
        </a:solidFill>
        <a:ln>
          <a:noFill/>
        </a:ln>
        <a:effectLst>
          <a:outerShdw blurRad="254000" dist="127000" dir="3300000" algn="tl" rotWithShape="0">
            <a:prstClr val="black">
              <a:alpha val="5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7D0D35B-A503-475C-8420-17311C91954D}" type="TxLink">
            <a:rPr lang="en-US" sz="2800" b="0" i="0" u="none" strike="noStrike">
              <a:solidFill>
                <a:schemeClr val="bg1"/>
              </a:solidFill>
              <a:latin typeface="+mj-lt"/>
            </a:rPr>
            <a:pPr algn="ctr"/>
            <a:t>$96,623</a:t>
          </a:fld>
          <a:endParaRPr lang="en-US" sz="2800">
            <a:solidFill>
              <a:schemeClr val="bg1"/>
            </a:solidFill>
            <a:latin typeface="+mj-lt"/>
          </a:endParaRPr>
        </a:p>
      </xdr:txBody>
    </xdr:sp>
    <xdr:clientData/>
  </xdr:twoCellAnchor>
  <xdr:twoCellAnchor>
    <xdr:from>
      <xdr:col>2</xdr:col>
      <xdr:colOff>121228</xdr:colOff>
      <xdr:row>10</xdr:row>
      <xdr:rowOff>34637</xdr:rowOff>
    </xdr:from>
    <xdr:to>
      <xdr:col>3</xdr:col>
      <xdr:colOff>571501</xdr:colOff>
      <xdr:row>11</xdr:row>
      <xdr:rowOff>95251</xdr:rowOff>
    </xdr:to>
    <xdr:sp macro="" textlink="">
      <xdr:nvSpPr>
        <xdr:cNvPr id="13" name="TextBox 12">
          <a:extLst>
            <a:ext uri="{FF2B5EF4-FFF2-40B4-BE49-F238E27FC236}">
              <a16:creationId xmlns:a16="http://schemas.microsoft.com/office/drawing/2014/main" id="{FBF47017-B5A9-48B8-9673-145136C5E21F}"/>
            </a:ext>
          </a:extLst>
        </xdr:cNvPr>
        <xdr:cNvSpPr txBox="1"/>
      </xdr:nvSpPr>
      <xdr:spPr>
        <a:xfrm>
          <a:off x="311728" y="1853046"/>
          <a:ext cx="1117023" cy="24245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Amount</a:t>
          </a:r>
        </a:p>
        <a:p>
          <a:pPr algn="ctr"/>
          <a:endParaRPr lang="en-IN" sz="1100">
            <a:solidFill>
              <a:schemeClr val="bg1"/>
            </a:solidFill>
            <a:latin typeface="+mj-lt"/>
          </a:endParaRPr>
        </a:p>
      </xdr:txBody>
    </xdr:sp>
    <xdr:clientData/>
  </xdr:twoCellAnchor>
  <xdr:twoCellAnchor>
    <xdr:from>
      <xdr:col>2</xdr:col>
      <xdr:colOff>216477</xdr:colOff>
      <xdr:row>13</xdr:row>
      <xdr:rowOff>69273</xdr:rowOff>
    </xdr:from>
    <xdr:to>
      <xdr:col>3</xdr:col>
      <xdr:colOff>432955</xdr:colOff>
      <xdr:row>14</xdr:row>
      <xdr:rowOff>95250</xdr:rowOff>
    </xdr:to>
    <xdr:sp macro="" textlink="pivots!B11">
      <xdr:nvSpPr>
        <xdr:cNvPr id="15" name="TextBox 14">
          <a:extLst>
            <a:ext uri="{FF2B5EF4-FFF2-40B4-BE49-F238E27FC236}">
              <a16:creationId xmlns:a16="http://schemas.microsoft.com/office/drawing/2014/main" id="{25FA1479-B670-425D-979D-52B51303A9BA}"/>
            </a:ext>
          </a:extLst>
        </xdr:cNvPr>
        <xdr:cNvSpPr txBox="1"/>
      </xdr:nvSpPr>
      <xdr:spPr>
        <a:xfrm>
          <a:off x="406977" y="2433205"/>
          <a:ext cx="883228"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1287FF-F976-4F0B-A6D7-7A73641B816A}" type="TxLink">
            <a:rPr lang="en-US" sz="1400" b="0" i="0" u="none" strike="noStrike">
              <a:solidFill>
                <a:schemeClr val="bg1"/>
              </a:solidFill>
              <a:latin typeface="Aptos"/>
            </a:rPr>
            <a:pPr algn="ctr"/>
            <a:t>$20,872</a:t>
          </a:fld>
          <a:endParaRPr lang="en-IN" sz="1400">
            <a:solidFill>
              <a:schemeClr val="bg1"/>
            </a:solidFill>
          </a:endParaRPr>
        </a:p>
      </xdr:txBody>
    </xdr:sp>
    <xdr:clientData/>
  </xdr:twoCellAnchor>
  <xdr:twoCellAnchor>
    <xdr:from>
      <xdr:col>2</xdr:col>
      <xdr:colOff>0</xdr:colOff>
      <xdr:row>17</xdr:row>
      <xdr:rowOff>0</xdr:rowOff>
    </xdr:from>
    <xdr:to>
      <xdr:col>4</xdr:col>
      <xdr:colOff>8660</xdr:colOff>
      <xdr:row>21</xdr:row>
      <xdr:rowOff>164523</xdr:rowOff>
    </xdr:to>
    <xdr:sp macro="" textlink="pivots!C4">
      <xdr:nvSpPr>
        <xdr:cNvPr id="16" name="Rectangle 15">
          <a:extLst>
            <a:ext uri="{FF2B5EF4-FFF2-40B4-BE49-F238E27FC236}">
              <a16:creationId xmlns:a16="http://schemas.microsoft.com/office/drawing/2014/main" id="{F18481AE-3949-443C-A652-C7A67F6EC4EB}"/>
            </a:ext>
          </a:extLst>
        </xdr:cNvPr>
        <xdr:cNvSpPr/>
      </xdr:nvSpPr>
      <xdr:spPr>
        <a:xfrm>
          <a:off x="190500" y="3091295"/>
          <a:ext cx="1342160" cy="891887"/>
        </a:xfrm>
        <a:prstGeom prst="rect">
          <a:avLst/>
        </a:prstGeom>
        <a:solidFill>
          <a:schemeClr val="accent6"/>
        </a:solidFill>
        <a:ln>
          <a:noFill/>
        </a:ln>
        <a:effectLst>
          <a:outerShdw blurRad="254000" dist="127000" dir="2700000" algn="tl" rotWithShape="0">
            <a:prstClr val="black">
              <a:alpha val="5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7471BB-42E4-4109-827E-3CABEBC28A97}" type="TxLink">
            <a:rPr lang="en-US" sz="2800" b="0" i="0" u="none" strike="noStrike">
              <a:solidFill>
                <a:schemeClr val="bg1"/>
              </a:solidFill>
              <a:latin typeface="+mj-lt"/>
            </a:rPr>
            <a:pPr algn="ctr"/>
            <a:t>89,850</a:t>
          </a:fld>
          <a:endParaRPr lang="en-US" sz="2800">
            <a:solidFill>
              <a:schemeClr val="bg1"/>
            </a:solidFill>
            <a:latin typeface="+mj-lt"/>
          </a:endParaRPr>
        </a:p>
      </xdr:txBody>
    </xdr:sp>
    <xdr:clientData/>
  </xdr:twoCellAnchor>
  <xdr:twoCellAnchor>
    <xdr:from>
      <xdr:col>2</xdr:col>
      <xdr:colOff>121228</xdr:colOff>
      <xdr:row>17</xdr:row>
      <xdr:rowOff>34637</xdr:rowOff>
    </xdr:from>
    <xdr:to>
      <xdr:col>3</xdr:col>
      <xdr:colOff>571501</xdr:colOff>
      <xdr:row>18</xdr:row>
      <xdr:rowOff>95251</xdr:rowOff>
    </xdr:to>
    <xdr:sp macro="" textlink="">
      <xdr:nvSpPr>
        <xdr:cNvPr id="17" name="TextBox 16">
          <a:extLst>
            <a:ext uri="{FF2B5EF4-FFF2-40B4-BE49-F238E27FC236}">
              <a16:creationId xmlns:a16="http://schemas.microsoft.com/office/drawing/2014/main" id="{42901BF5-0137-4D87-B0C8-778B0EEC52C3}"/>
            </a:ext>
          </a:extLst>
        </xdr:cNvPr>
        <xdr:cNvSpPr txBox="1"/>
      </xdr:nvSpPr>
      <xdr:spPr>
        <a:xfrm>
          <a:off x="311728" y="3125932"/>
          <a:ext cx="1117023" cy="24245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Duration</a:t>
          </a:r>
        </a:p>
        <a:p>
          <a:pPr algn="ctr"/>
          <a:endParaRPr lang="en-IN" sz="1100">
            <a:solidFill>
              <a:schemeClr val="bg1"/>
            </a:solidFill>
            <a:latin typeface="+mj-lt"/>
          </a:endParaRPr>
        </a:p>
      </xdr:txBody>
    </xdr:sp>
    <xdr:clientData/>
  </xdr:twoCellAnchor>
  <xdr:twoCellAnchor>
    <xdr:from>
      <xdr:col>2</xdr:col>
      <xdr:colOff>216477</xdr:colOff>
      <xdr:row>20</xdr:row>
      <xdr:rowOff>69273</xdr:rowOff>
    </xdr:from>
    <xdr:to>
      <xdr:col>3</xdr:col>
      <xdr:colOff>432955</xdr:colOff>
      <xdr:row>21</xdr:row>
      <xdr:rowOff>95250</xdr:rowOff>
    </xdr:to>
    <xdr:sp macro="" textlink="pivots!C11">
      <xdr:nvSpPr>
        <xdr:cNvPr id="19" name="TextBox 18">
          <a:extLst>
            <a:ext uri="{FF2B5EF4-FFF2-40B4-BE49-F238E27FC236}">
              <a16:creationId xmlns:a16="http://schemas.microsoft.com/office/drawing/2014/main" id="{6F4A4832-9A07-45DB-B42F-EC8EEEA62271}"/>
            </a:ext>
          </a:extLst>
        </xdr:cNvPr>
        <xdr:cNvSpPr txBox="1"/>
      </xdr:nvSpPr>
      <xdr:spPr>
        <a:xfrm>
          <a:off x="406977" y="3706091"/>
          <a:ext cx="883228"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89E6C3-9E6A-43F6-AAEE-5A812F78FD83}" type="TxLink">
            <a:rPr lang="en-US" sz="1400" b="0" i="0" u="none" strike="noStrike">
              <a:solidFill>
                <a:schemeClr val="bg1"/>
              </a:solidFill>
              <a:latin typeface="Aptos"/>
            </a:rPr>
            <a:pPr algn="ctr"/>
            <a:t>17,700</a:t>
          </a:fld>
          <a:endParaRPr lang="en-IN" sz="1400">
            <a:solidFill>
              <a:schemeClr val="bg1"/>
            </a:solidFill>
          </a:endParaRPr>
        </a:p>
      </xdr:txBody>
    </xdr:sp>
    <xdr:clientData/>
  </xdr:twoCellAnchor>
  <xdr:twoCellAnchor>
    <xdr:from>
      <xdr:col>2</xdr:col>
      <xdr:colOff>0</xdr:colOff>
      <xdr:row>24</xdr:row>
      <xdr:rowOff>0</xdr:rowOff>
    </xdr:from>
    <xdr:to>
      <xdr:col>4</xdr:col>
      <xdr:colOff>8660</xdr:colOff>
      <xdr:row>28</xdr:row>
      <xdr:rowOff>164524</xdr:rowOff>
    </xdr:to>
    <xdr:sp macro="" textlink="pivots!D4">
      <xdr:nvSpPr>
        <xdr:cNvPr id="20" name="Rectangle 19">
          <a:extLst>
            <a:ext uri="{FF2B5EF4-FFF2-40B4-BE49-F238E27FC236}">
              <a16:creationId xmlns:a16="http://schemas.microsoft.com/office/drawing/2014/main" id="{5AF0D1BB-BA98-4916-B2F4-928E5086ADFB}"/>
            </a:ext>
          </a:extLst>
        </xdr:cNvPr>
        <xdr:cNvSpPr/>
      </xdr:nvSpPr>
      <xdr:spPr>
        <a:xfrm>
          <a:off x="190500" y="4364182"/>
          <a:ext cx="1342160" cy="891887"/>
        </a:xfrm>
        <a:prstGeom prst="rect">
          <a:avLst/>
        </a:prstGeom>
        <a:solidFill>
          <a:schemeClr val="accent6"/>
        </a:solidFill>
        <a:ln>
          <a:noFill/>
        </a:ln>
        <a:effectLst>
          <a:outerShdw blurRad="254000" dist="127000" dir="2700000" algn="tl" rotWithShape="0">
            <a:prstClr val="black">
              <a:alpha val="5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C83BE3-CB6C-4239-A852-28099523AED9}" type="TxLink">
            <a:rPr lang="en-US" sz="2800" b="0" i="0" u="none" strike="noStrike">
              <a:solidFill>
                <a:schemeClr val="bg1"/>
              </a:solidFill>
              <a:latin typeface="+mj-lt"/>
            </a:rPr>
            <a:pPr algn="ctr"/>
            <a:t>3.9</a:t>
          </a:fld>
          <a:endParaRPr lang="en-US" sz="2800">
            <a:solidFill>
              <a:schemeClr val="bg1"/>
            </a:solidFill>
            <a:latin typeface="+mj-lt"/>
          </a:endParaRPr>
        </a:p>
      </xdr:txBody>
    </xdr:sp>
    <xdr:clientData/>
  </xdr:twoCellAnchor>
  <xdr:twoCellAnchor>
    <xdr:from>
      <xdr:col>2</xdr:col>
      <xdr:colOff>121228</xdr:colOff>
      <xdr:row>24</xdr:row>
      <xdr:rowOff>34637</xdr:rowOff>
    </xdr:from>
    <xdr:to>
      <xdr:col>3</xdr:col>
      <xdr:colOff>571501</xdr:colOff>
      <xdr:row>25</xdr:row>
      <xdr:rowOff>95251</xdr:rowOff>
    </xdr:to>
    <xdr:sp macro="" textlink="">
      <xdr:nvSpPr>
        <xdr:cNvPr id="21" name="TextBox 20">
          <a:extLst>
            <a:ext uri="{FF2B5EF4-FFF2-40B4-BE49-F238E27FC236}">
              <a16:creationId xmlns:a16="http://schemas.microsoft.com/office/drawing/2014/main" id="{86B55CD7-83B3-4D50-871A-C925B96047F1}"/>
            </a:ext>
          </a:extLst>
        </xdr:cNvPr>
        <xdr:cNvSpPr txBox="1"/>
      </xdr:nvSpPr>
      <xdr:spPr>
        <a:xfrm>
          <a:off x="311728" y="4398819"/>
          <a:ext cx="1117023" cy="24245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 Rating</a:t>
          </a:r>
        </a:p>
        <a:p>
          <a:pPr algn="ctr"/>
          <a:endParaRPr lang="en-IN" sz="1100">
            <a:solidFill>
              <a:schemeClr val="bg1"/>
            </a:solidFill>
            <a:latin typeface="+mj-lt"/>
          </a:endParaRPr>
        </a:p>
      </xdr:txBody>
    </xdr:sp>
    <xdr:clientData/>
  </xdr:twoCellAnchor>
  <xdr:twoCellAnchor>
    <xdr:from>
      <xdr:col>2</xdr:col>
      <xdr:colOff>216477</xdr:colOff>
      <xdr:row>27</xdr:row>
      <xdr:rowOff>69273</xdr:rowOff>
    </xdr:from>
    <xdr:to>
      <xdr:col>3</xdr:col>
      <xdr:colOff>432955</xdr:colOff>
      <xdr:row>28</xdr:row>
      <xdr:rowOff>95251</xdr:rowOff>
    </xdr:to>
    <xdr:sp macro="" textlink="pivots!D11">
      <xdr:nvSpPr>
        <xdr:cNvPr id="23" name="TextBox 22">
          <a:extLst>
            <a:ext uri="{FF2B5EF4-FFF2-40B4-BE49-F238E27FC236}">
              <a16:creationId xmlns:a16="http://schemas.microsoft.com/office/drawing/2014/main" id="{E0FCF04B-0CAE-48A4-A485-D5BED0227ABA}"/>
            </a:ext>
          </a:extLst>
        </xdr:cNvPr>
        <xdr:cNvSpPr txBox="1"/>
      </xdr:nvSpPr>
      <xdr:spPr>
        <a:xfrm>
          <a:off x="406977" y="4978978"/>
          <a:ext cx="883228"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A28C8F-BCEF-4E4F-B241-F843DDCD30A3}" type="TxLink">
            <a:rPr lang="en-US" sz="1400" b="0" i="0" u="none" strike="noStrike">
              <a:solidFill>
                <a:schemeClr val="bg1"/>
              </a:solidFill>
              <a:latin typeface="Aptos"/>
            </a:rPr>
            <a:pPr algn="ctr"/>
            <a:t>3.9</a:t>
          </a:fld>
          <a:endParaRPr lang="en-IN" sz="1400">
            <a:solidFill>
              <a:schemeClr val="bg1"/>
            </a:solidFill>
          </a:endParaRPr>
        </a:p>
      </xdr:txBody>
    </xdr:sp>
    <xdr:clientData/>
  </xdr:twoCellAnchor>
  <xdr:twoCellAnchor>
    <xdr:from>
      <xdr:col>2</xdr:col>
      <xdr:colOff>0</xdr:colOff>
      <xdr:row>31</xdr:row>
      <xdr:rowOff>0</xdr:rowOff>
    </xdr:from>
    <xdr:to>
      <xdr:col>4</xdr:col>
      <xdr:colOff>8660</xdr:colOff>
      <xdr:row>35</xdr:row>
      <xdr:rowOff>164523</xdr:rowOff>
    </xdr:to>
    <xdr:sp macro="" textlink="pivots!E4">
      <xdr:nvSpPr>
        <xdr:cNvPr id="24" name="Rectangle 23">
          <a:extLst>
            <a:ext uri="{FF2B5EF4-FFF2-40B4-BE49-F238E27FC236}">
              <a16:creationId xmlns:a16="http://schemas.microsoft.com/office/drawing/2014/main" id="{DE95E1C5-5B14-4F12-BBD7-FC3F7FAB3492}"/>
            </a:ext>
          </a:extLst>
        </xdr:cNvPr>
        <xdr:cNvSpPr/>
      </xdr:nvSpPr>
      <xdr:spPr>
        <a:xfrm>
          <a:off x="190500" y="5637068"/>
          <a:ext cx="1342160" cy="891887"/>
        </a:xfrm>
        <a:prstGeom prst="rect">
          <a:avLst/>
        </a:prstGeom>
        <a:solidFill>
          <a:schemeClr val="accent6"/>
        </a:solidFill>
        <a:ln>
          <a:noFill/>
        </a:ln>
        <a:effectLst>
          <a:outerShdw blurRad="254000" dist="127000" dir="2700000" algn="tl" rotWithShape="0">
            <a:prstClr val="black">
              <a:alpha val="50000"/>
            </a:prstClr>
          </a:outerShdw>
          <a:reflection endPos="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EAE0EB-6FC3-4BD7-9EFF-C2AA7D83116B}" type="TxLink">
            <a:rPr lang="en-US" sz="2800" b="0" i="0" u="none" strike="noStrike">
              <a:solidFill>
                <a:schemeClr val="bg1"/>
              </a:solidFill>
              <a:latin typeface="+mj-lt"/>
            </a:rPr>
            <a:pPr algn="ctr"/>
            <a:t>307</a:t>
          </a:fld>
          <a:endParaRPr lang="en-US" sz="2800">
            <a:solidFill>
              <a:schemeClr val="bg1"/>
            </a:solidFill>
            <a:latin typeface="+mj-lt"/>
          </a:endParaRPr>
        </a:p>
      </xdr:txBody>
    </xdr:sp>
    <xdr:clientData/>
  </xdr:twoCellAnchor>
  <xdr:twoCellAnchor>
    <xdr:from>
      <xdr:col>2</xdr:col>
      <xdr:colOff>121228</xdr:colOff>
      <xdr:row>31</xdr:row>
      <xdr:rowOff>34637</xdr:rowOff>
    </xdr:from>
    <xdr:to>
      <xdr:col>3</xdr:col>
      <xdr:colOff>571501</xdr:colOff>
      <xdr:row>32</xdr:row>
      <xdr:rowOff>95251</xdr:rowOff>
    </xdr:to>
    <xdr:sp macro="" textlink="">
      <xdr:nvSpPr>
        <xdr:cNvPr id="25" name="TextBox 24">
          <a:extLst>
            <a:ext uri="{FF2B5EF4-FFF2-40B4-BE49-F238E27FC236}">
              <a16:creationId xmlns:a16="http://schemas.microsoft.com/office/drawing/2014/main" id="{42114975-D460-4E7B-B5BB-4A3CA94C58BC}"/>
            </a:ext>
          </a:extLst>
        </xdr:cNvPr>
        <xdr:cNvSpPr txBox="1"/>
      </xdr:nvSpPr>
      <xdr:spPr>
        <a:xfrm>
          <a:off x="311728" y="5671705"/>
          <a:ext cx="1117023" cy="242455"/>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Happy Callers</a:t>
          </a:r>
        </a:p>
        <a:p>
          <a:pPr algn="ctr"/>
          <a:endParaRPr lang="en-IN" sz="1000">
            <a:solidFill>
              <a:schemeClr val="bg1"/>
            </a:solidFill>
            <a:latin typeface="+mj-lt"/>
          </a:endParaRPr>
        </a:p>
      </xdr:txBody>
    </xdr:sp>
    <xdr:clientData/>
  </xdr:twoCellAnchor>
  <xdr:twoCellAnchor>
    <xdr:from>
      <xdr:col>2</xdr:col>
      <xdr:colOff>216477</xdr:colOff>
      <xdr:row>34</xdr:row>
      <xdr:rowOff>69273</xdr:rowOff>
    </xdr:from>
    <xdr:to>
      <xdr:col>3</xdr:col>
      <xdr:colOff>432955</xdr:colOff>
      <xdr:row>35</xdr:row>
      <xdr:rowOff>95250</xdr:rowOff>
    </xdr:to>
    <xdr:sp macro="" textlink="pivots!E11">
      <xdr:nvSpPr>
        <xdr:cNvPr id="27" name="TextBox 26">
          <a:extLst>
            <a:ext uri="{FF2B5EF4-FFF2-40B4-BE49-F238E27FC236}">
              <a16:creationId xmlns:a16="http://schemas.microsoft.com/office/drawing/2014/main" id="{B5EC7C10-4D55-46A6-82A5-5264F91E27DE}"/>
            </a:ext>
          </a:extLst>
        </xdr:cNvPr>
        <xdr:cNvSpPr txBox="1"/>
      </xdr:nvSpPr>
      <xdr:spPr>
        <a:xfrm>
          <a:off x="406977" y="6251864"/>
          <a:ext cx="883228" cy="207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001547-62EC-4239-9576-B23872636AB8}" type="TxLink">
            <a:rPr lang="en-US" sz="1400" b="0" i="0" u="none" strike="noStrike">
              <a:solidFill>
                <a:schemeClr val="bg1"/>
              </a:solidFill>
              <a:latin typeface="Aptos"/>
            </a:rPr>
            <a:pPr algn="ctr"/>
            <a:t>60</a:t>
          </a:fld>
          <a:endParaRPr lang="en-IN" sz="1400">
            <a:solidFill>
              <a:schemeClr val="bg1"/>
            </a:solidFill>
          </a:endParaRPr>
        </a:p>
      </xdr:txBody>
    </xdr:sp>
    <xdr:clientData/>
  </xdr:twoCellAnchor>
  <xdr:twoCellAnchor editAs="oneCell">
    <xdr:from>
      <xdr:col>2</xdr:col>
      <xdr:colOff>34636</xdr:colOff>
      <xdr:row>17</xdr:row>
      <xdr:rowOff>46183</xdr:rowOff>
    </xdr:from>
    <xdr:to>
      <xdr:col>2</xdr:col>
      <xdr:colOff>230629</xdr:colOff>
      <xdr:row>18</xdr:row>
      <xdr:rowOff>55218</xdr:rowOff>
    </xdr:to>
    <xdr:pic>
      <xdr:nvPicPr>
        <xdr:cNvPr id="29" name="Graphic 28" descr="Hourglass Finished with solid fill">
          <a:extLst>
            <a:ext uri="{FF2B5EF4-FFF2-40B4-BE49-F238E27FC236}">
              <a16:creationId xmlns:a16="http://schemas.microsoft.com/office/drawing/2014/main" id="{02C3782C-9169-44BF-8711-710D73FEB52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11332" y="3237748"/>
          <a:ext cx="195993" cy="196773"/>
        </a:xfrm>
        <a:prstGeom prst="rect">
          <a:avLst/>
        </a:prstGeom>
      </xdr:spPr>
    </xdr:pic>
    <xdr:clientData/>
  </xdr:twoCellAnchor>
  <xdr:twoCellAnchor editAs="oneCell">
    <xdr:from>
      <xdr:col>2</xdr:col>
      <xdr:colOff>46183</xdr:colOff>
      <xdr:row>10</xdr:row>
      <xdr:rowOff>46181</xdr:rowOff>
    </xdr:from>
    <xdr:to>
      <xdr:col>2</xdr:col>
      <xdr:colOff>213708</xdr:colOff>
      <xdr:row>11</xdr:row>
      <xdr:rowOff>22088</xdr:rowOff>
    </xdr:to>
    <xdr:pic>
      <xdr:nvPicPr>
        <xdr:cNvPr id="31" name="Graphic 30" descr="Shopping cart with solid fill">
          <a:extLst>
            <a:ext uri="{FF2B5EF4-FFF2-40B4-BE49-F238E27FC236}">
              <a16:creationId xmlns:a16="http://schemas.microsoft.com/office/drawing/2014/main" id="{4AB1A965-00C5-4F09-ADEA-1C52A62990B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2879" y="1923572"/>
          <a:ext cx="167525" cy="163645"/>
        </a:xfrm>
        <a:prstGeom prst="rect">
          <a:avLst/>
        </a:prstGeom>
      </xdr:spPr>
    </xdr:pic>
    <xdr:clientData/>
  </xdr:twoCellAnchor>
  <xdr:twoCellAnchor editAs="oneCell">
    <xdr:from>
      <xdr:col>2</xdr:col>
      <xdr:colOff>46183</xdr:colOff>
      <xdr:row>31</xdr:row>
      <xdr:rowOff>46183</xdr:rowOff>
    </xdr:from>
    <xdr:to>
      <xdr:col>2</xdr:col>
      <xdr:colOff>223672</xdr:colOff>
      <xdr:row>32</xdr:row>
      <xdr:rowOff>34638</xdr:rowOff>
    </xdr:to>
    <xdr:pic>
      <xdr:nvPicPr>
        <xdr:cNvPr id="32" name="Graphic 31" descr="Star-struck face outline with solid fill">
          <a:extLst>
            <a:ext uri="{FF2B5EF4-FFF2-40B4-BE49-F238E27FC236}">
              <a16:creationId xmlns:a16="http://schemas.microsoft.com/office/drawing/2014/main" id="{A5779C64-D8D4-46C5-8C16-9BF8A571831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30910" y="5772728"/>
          <a:ext cx="177489" cy="173182"/>
        </a:xfrm>
        <a:prstGeom prst="rect">
          <a:avLst/>
        </a:prstGeom>
      </xdr:spPr>
    </xdr:pic>
    <xdr:clientData/>
  </xdr:twoCellAnchor>
  <xdr:twoCellAnchor editAs="oneCell">
    <xdr:from>
      <xdr:col>13</xdr:col>
      <xdr:colOff>372835</xdr:colOff>
      <xdr:row>17</xdr:row>
      <xdr:rowOff>150254</xdr:rowOff>
    </xdr:from>
    <xdr:to>
      <xdr:col>15</xdr:col>
      <xdr:colOff>0</xdr:colOff>
      <xdr:row>28</xdr:row>
      <xdr:rowOff>1</xdr:rowOff>
    </xdr:to>
    <mc:AlternateContent xmlns:mc="http://schemas.openxmlformats.org/markup-compatibility/2006" xmlns:a14="http://schemas.microsoft.com/office/drawing/2010/main">
      <mc:Choice Requires="a14">
        <xdr:graphicFrame macro="">
          <xdr:nvGraphicFramePr>
            <xdr:cNvPr id="34" name="Representative">
              <a:extLst>
                <a:ext uri="{FF2B5EF4-FFF2-40B4-BE49-F238E27FC236}">
                  <a16:creationId xmlns:a16="http://schemas.microsoft.com/office/drawing/2014/main" id="{F261B3E1-1034-4AC4-A514-9A2740953127}"/>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427108" y="3509981"/>
              <a:ext cx="1197347" cy="1881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64416</xdr:colOff>
      <xdr:row>24</xdr:row>
      <xdr:rowOff>23092</xdr:rowOff>
    </xdr:from>
    <xdr:to>
      <xdr:col>2</xdr:col>
      <xdr:colOff>265546</xdr:colOff>
      <xdr:row>25</xdr:row>
      <xdr:rowOff>34638</xdr:rowOff>
    </xdr:to>
    <xdr:pic>
      <xdr:nvPicPr>
        <xdr:cNvPr id="33" name="Graphic 32" descr="Rating Star with solid fill">
          <a:extLst>
            <a:ext uri="{FF2B5EF4-FFF2-40B4-BE49-F238E27FC236}">
              <a16:creationId xmlns:a16="http://schemas.microsoft.com/office/drawing/2014/main" id="{8FCE05A1-0AF6-4D4C-B392-3A23B4C2EFD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flipH="1">
          <a:off x="249143" y="4456547"/>
          <a:ext cx="201130" cy="196272"/>
        </a:xfrm>
        <a:prstGeom prst="rect">
          <a:avLst/>
        </a:prstGeom>
      </xdr:spPr>
    </xdr:pic>
    <xdr:clientData/>
  </xdr:twoCellAnchor>
  <xdr:twoCellAnchor>
    <xdr:from>
      <xdr:col>12</xdr:col>
      <xdr:colOff>596349</xdr:colOff>
      <xdr:row>4</xdr:row>
      <xdr:rowOff>44174</xdr:rowOff>
    </xdr:from>
    <xdr:to>
      <xdr:col>15</xdr:col>
      <xdr:colOff>0</xdr:colOff>
      <xdr:row>15</xdr:row>
      <xdr:rowOff>0</xdr:rowOff>
    </xdr:to>
    <xdr:graphicFrame macro="">
      <xdr:nvGraphicFramePr>
        <xdr:cNvPr id="36" name="Chart 35">
          <a:extLst>
            <a:ext uri="{FF2B5EF4-FFF2-40B4-BE49-F238E27FC236}">
              <a16:creationId xmlns:a16="http://schemas.microsoft.com/office/drawing/2014/main" id="{F1767CBF-E55A-43ED-9373-EEC64C609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11043</xdr:colOff>
      <xdr:row>2</xdr:row>
      <xdr:rowOff>180118</xdr:rowOff>
    </xdr:from>
    <xdr:to>
      <xdr:col>13</xdr:col>
      <xdr:colOff>0</xdr:colOff>
      <xdr:row>16</xdr:row>
      <xdr:rowOff>0</xdr:rowOff>
    </xdr:to>
    <xdr:graphicFrame macro="">
      <xdr:nvGraphicFramePr>
        <xdr:cNvPr id="35" name="Chart 34">
          <a:extLst>
            <a:ext uri="{FF2B5EF4-FFF2-40B4-BE49-F238E27FC236}">
              <a16:creationId xmlns:a16="http://schemas.microsoft.com/office/drawing/2014/main" id="{E312058B-8D1E-494F-A48C-782080917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10734</xdr:colOff>
      <xdr:row>16</xdr:row>
      <xdr:rowOff>171719</xdr:rowOff>
    </xdr:from>
    <xdr:to>
      <xdr:col>13</xdr:col>
      <xdr:colOff>386366</xdr:colOff>
      <xdr:row>36</xdr:row>
      <xdr:rowOff>0</xdr:rowOff>
    </xdr:to>
    <xdr:sp macro="" textlink="">
      <xdr:nvSpPr>
        <xdr:cNvPr id="42" name="Rectangle 41">
          <a:extLst>
            <a:ext uri="{FF2B5EF4-FFF2-40B4-BE49-F238E27FC236}">
              <a16:creationId xmlns:a16="http://schemas.microsoft.com/office/drawing/2014/main" id="{FECC0A56-1106-76C9-6F32-BCC406DDB18F}"/>
            </a:ext>
          </a:extLst>
        </xdr:cNvPr>
        <xdr:cNvSpPr/>
      </xdr:nvSpPr>
      <xdr:spPr>
        <a:xfrm>
          <a:off x="1706452" y="3090930"/>
          <a:ext cx="5698900" cy="3477295"/>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135011</xdr:colOff>
      <xdr:row>18</xdr:row>
      <xdr:rowOff>0</xdr:rowOff>
    </xdr:from>
    <xdr:to>
      <xdr:col>9</xdr:col>
      <xdr:colOff>193183</xdr:colOff>
      <xdr:row>36</xdr:row>
      <xdr:rowOff>25199</xdr:rowOff>
    </xdr:to>
    <xdr:graphicFrame macro="">
      <xdr:nvGraphicFramePr>
        <xdr:cNvPr id="39" name="Chart 38">
          <a:extLst>
            <a:ext uri="{FF2B5EF4-FFF2-40B4-BE49-F238E27FC236}">
              <a16:creationId xmlns:a16="http://schemas.microsoft.com/office/drawing/2014/main" id="{A98DD77A-9869-412A-BAD4-6092C425D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354168</xdr:colOff>
      <xdr:row>18</xdr:row>
      <xdr:rowOff>-1</xdr:rowOff>
    </xdr:from>
    <xdr:to>
      <xdr:col>13</xdr:col>
      <xdr:colOff>318238</xdr:colOff>
      <xdr:row>36</xdr:row>
      <xdr:rowOff>4354</xdr:rowOff>
    </xdr:to>
    <xdr:graphicFrame macro="">
      <xdr:nvGraphicFramePr>
        <xdr:cNvPr id="40" name="Chart 39">
          <a:extLst>
            <a:ext uri="{FF2B5EF4-FFF2-40B4-BE49-F238E27FC236}">
              <a16:creationId xmlns:a16="http://schemas.microsoft.com/office/drawing/2014/main" id="{CCEE7B15-F7DF-4C42-94CD-FA75CC6AF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0</xdr:colOff>
      <xdr:row>3</xdr:row>
      <xdr:rowOff>0</xdr:rowOff>
    </xdr:from>
    <xdr:to>
      <xdr:col>19</xdr:col>
      <xdr:colOff>0</xdr:colOff>
      <xdr:row>16</xdr:row>
      <xdr:rowOff>0</xdr:rowOff>
    </xdr:to>
    <xdr:graphicFrame macro="">
      <xdr:nvGraphicFramePr>
        <xdr:cNvPr id="43" name="Chart 42">
          <a:extLst>
            <a:ext uri="{FF2B5EF4-FFF2-40B4-BE49-F238E27FC236}">
              <a16:creationId xmlns:a16="http://schemas.microsoft.com/office/drawing/2014/main" id="{9513A75F-4463-4A6D-ABEA-DEF18E4C25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139522</xdr:colOff>
      <xdr:row>3</xdr:row>
      <xdr:rowOff>2</xdr:rowOff>
    </xdr:from>
    <xdr:to>
      <xdr:col>23</xdr:col>
      <xdr:colOff>0</xdr:colOff>
      <xdr:row>16</xdr:row>
      <xdr:rowOff>1</xdr:rowOff>
    </xdr:to>
    <xdr:graphicFrame macro="">
      <xdr:nvGraphicFramePr>
        <xdr:cNvPr id="44" name="Chart 43">
          <a:extLst>
            <a:ext uri="{FF2B5EF4-FFF2-40B4-BE49-F238E27FC236}">
              <a16:creationId xmlns:a16="http://schemas.microsoft.com/office/drawing/2014/main" id="{2BB3EC04-1394-4B7C-84E5-CD3084EBC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3.649467824071" backgroundQuery="1" createdVersion="8" refreshedVersion="8" minRefreshableVersion="3" recordCount="0" supportSubquery="1" supportAdvancedDrill="1" xr:uid="{7D66F5EB-7A5D-4B2E-939C-B5C6EB52AF70}">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3.668419791669" backgroundQuery="1" createdVersion="8" refreshedVersion="8" minRefreshableVersion="3" recordCount="0" supportSubquery="1" supportAdvancedDrill="1" xr:uid="{FA43FE17-088D-4D6A-9CC0-AAF05439289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3.860205555553" backgroundQuery="1" createdVersion="8" refreshedVersion="8" minRefreshableVersion="3" recordCount="0" supportSubquery="1" supportAdvancedDrill="1" xr:uid="{E01AF343-D85C-4712-9479-DFA09060A7A4}">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3.875322916669" backgroundQuery="1" createdVersion="8" refreshedVersion="8" minRefreshableVersion="3" recordCount="0" supportSubquery="1" supportAdvancedDrill="1" xr:uid="{6FA3D7B4-7B79-4B34-822B-81E02848EBD7}">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4.558819791666" backgroundQuery="1" createdVersion="8" refreshedVersion="8" minRefreshableVersion="3" recordCount="0" supportSubquery="1" supportAdvancedDrill="1" xr:uid="{A42DC6A1-9E9C-44C6-A4AB-956EF923D1D4}">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 Calls]" caption="5 *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 Calls]" caption="5 *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4.558820370374" backgroundQuery="1" createdVersion="8" refreshedVersion="8" minRefreshableVersion="3" recordCount="0" supportSubquery="1" supportAdvancedDrill="1" xr:uid="{FDC932D1-0F06-45C9-87D4-3EA005EAD792}">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4.55882071759" backgroundQuery="1" createdVersion="8" refreshedVersion="8" minRefreshableVersion="3" recordCount="0" supportSubquery="1" supportAdvancedDrill="1" xr:uid="{794202D2-B73D-44BC-999D-753C8194D468}">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4.558821064813" backgroundQuery="1" createdVersion="8" refreshedVersion="8" minRefreshableVersion="3" recordCount="0" supportSubquery="1" supportAdvancedDrill="1" xr:uid="{17766EA7-4B79-4735-8DFF-C1CCC655FD83}">
  <cacheSource type="external" connectionId="1"/>
  <cacheFields count="1">
    <cacheField name="[calls].[Representative].[Representative]" caption="Representative" numFmtId="0" hierarchy="3" level="1">
      <sharedItems count="1">
        <s v="R03"/>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4.558821412036" backgroundQuery="1" createdVersion="8" refreshedVersion="8" minRefreshableVersion="3" recordCount="0" supportSubquery="1" supportAdvancedDrill="1" xr:uid="{C386F932-C7B4-4A1F-9BAD-A7D78D45A382}">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j maurya" refreshedDate="46273.649459722219" backgroundQuery="1" createdVersion="3" refreshedVersion="8" minRefreshableVersion="3" recordCount="0" supportSubquery="1" supportAdvancedDrill="1" xr:uid="{43DA2CF0-5A9B-4D4E-81EB-3369A3DB7109}">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 Calls]" caption="5 *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400128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1BEEEE-B68B-43B3-B535-A4B6F7537D38}"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40B6B5-80F9-45AC-A0CA-47AB96A4E347}" name="selected rep" cacheId="7"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3:A5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4">
    <format dxfId="18">
      <pivotArea dataOnly="0" labelOnly="1" fieldPosition="0">
        <references count="1">
          <reference field="0" count="0"/>
        </references>
      </pivotArea>
    </format>
    <format dxfId="17">
      <pivotArea dataOnly="0" labelOnly="1" fieldPosition="0">
        <references count="1">
          <reference field="0" count="0"/>
        </references>
      </pivotArea>
    </format>
    <format dxfId="16">
      <pivotArea dataOnly="0" labelOnly="1" fieldPosition="0">
        <references count="1">
          <reference field="0" count="0"/>
        </references>
      </pivotArea>
    </format>
    <format dxfId="15">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F589E9-2ACF-40C9-89CD-C56F1FE501AD}"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C4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20A382-5F6F-469D-810B-F0B05D612563}" name="weekda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20:H28"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12"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3DF1E7-E29C-4D29-9D42-9A03C543C5FB}"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81:G10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F88AA5-5E10-4D21-A895-A4FA1677D3D3}" name="rep satisfaction"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1:B78" firstHeaderRow="1" firstDataRow="1" firstDataCol="1"/>
  <pivotFields count="3">
    <pivotField axis="axisRow" allDrilled="1" subtotalTop="0" showAll="0" defaultSubtotal="0" defaultAttributeDrillState="1">
      <items count="6">
        <item x="2"/>
        <item x="3"/>
        <item x="4"/>
        <item x="5"/>
        <item x="1"/>
        <item x="0"/>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6C2B45-8D0F-4721-B097-46F394918B33}"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2D954B-0A9F-4B81-9FD1-4EB8B1C50703}"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1:D66"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63D73F-7DD9-4A53-911A-22C2E67BB12B}"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4D329DED-1D98-43A6-9B3A-785DCE5A6D91}" sourceName="[calls].[Representative]">
  <pivotTables>
    <pivotTable tabId="6" name="rep pivot"/>
    <pivotTable tabId="6" name="monthly trend"/>
    <pivotTable tabId="6" name="weekday trend"/>
    <pivotTable tabId="6" name="selected rep"/>
    <pivotTable tabId="6" name="rep satisfaction"/>
  </pivotTables>
  <data>
    <olap pivotCacheId="104001287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FF2DFDD-6EF5-47DC-AB08-2BEEE4EAEA1C}"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4"/>
    <tableColumn id="5" xr3:uid="{5A35565E-8707-4DED-AD15-A0669D67B382}" name="Date of Call" dataDxfId="13"/>
    <tableColumn id="6" xr3:uid="{F2E4F158-B41F-47BC-8DF8-DFCADFEE4E40}" name="Purchase Amount"/>
    <tableColumn id="7" xr3:uid="{04B291B5-47BD-4F78-8FD8-D1551CCA6BD9}" name="Satisfaction Rating"/>
    <tableColumn id="8" xr3:uid="{6E4123C0-0B17-43B8-A142-A1E540CE974C}" name="FY" dataDxfId="12">
      <calculatedColumnFormula>IF(MONTH(calls[[#This Row],[Date of Call]])&lt;=6, YEAR(calls[[#This Row],[Date of Call]]), YEAR(calls[[#This Row],[Date of Call]])+1)</calculatedColumnFormula>
    </tableColumn>
    <tableColumn id="9" xr3:uid="{199FA271-5E9B-46CE-9BC6-2801F92CD17E}" name="Day of week" dataDxfId="11">
      <calculatedColumnFormula>TEXT(calls[[#This Row],[Date of Call]],"DDDD")</calculatedColumnFormula>
    </tableColumn>
    <tableColumn id="10" xr3:uid="{328CDB09-95B8-4D5E-9ED9-EF0D363735A1}" name="Duration Bucket" dataDxfId="10">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8" headerRowBorderDxfId="7" tableBorderDxfId="6" totalsRowBorderDxfId="5">
  <autoFilter ref="Q3:T18" xr:uid="{27158F51-A707-4171-8A04-81FB0AABCBA5}"/>
  <tableColumns count="4">
    <tableColumn id="1" xr3:uid="{02688061-6A8C-4E23-B7FF-D00CD8B58CAC}" name="Customer ID" dataDxfId="4"/>
    <tableColumn id="2" xr3:uid="{771678B6-DB44-426B-9874-B4E421A440D5}" name="Gedner" dataDxfId="3"/>
    <tableColumn id="3" xr3:uid="{B0D41C62-587E-494D-B49A-603F2C05F8D3}" name="Age" dataDxfId="2"/>
    <tableColumn id="4" xr3:uid="{663F92D6-FE31-4D81-9E01-8D066DDC8A88}" name="City" dataDxfId="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A2899-BD2B-48EC-88BD-85932D801334}">
  <dimension ref="A3:I100"/>
  <sheetViews>
    <sheetView topLeftCell="A42" zoomScale="89" workbookViewId="0">
      <selection activeCell="E51" sqref="E51"/>
    </sheetView>
  </sheetViews>
  <sheetFormatPr defaultRowHeight="14.4" x14ac:dyDescent="0.3"/>
  <cols>
    <col min="1" max="1" width="12.5" bestFit="1" customWidth="1"/>
    <col min="2" max="2" width="9.69921875" bestFit="1" customWidth="1"/>
    <col min="3" max="3" width="10.69921875" bestFit="1" customWidth="1"/>
    <col min="4" max="4" width="10" bestFit="1" customWidth="1"/>
    <col min="5" max="5" width="7.69921875" bestFit="1" customWidth="1"/>
    <col min="6" max="6" width="7.8984375" customWidth="1"/>
    <col min="7" max="7" width="12.5" bestFit="1" customWidth="1"/>
    <col min="8" max="8" width="9.69921875" bestFit="1" customWidth="1"/>
  </cols>
  <sheetData>
    <row r="3" spans="1:5" x14ac:dyDescent="0.3">
      <c r="A3" t="s">
        <v>1040</v>
      </c>
      <c r="B3" t="s">
        <v>1041</v>
      </c>
      <c r="C3" t="s">
        <v>1042</v>
      </c>
      <c r="D3" t="s">
        <v>1043</v>
      </c>
      <c r="E3" t="s">
        <v>1044</v>
      </c>
    </row>
    <row r="4" spans="1:5" x14ac:dyDescent="0.3">
      <c r="A4" s="21">
        <v>1000</v>
      </c>
      <c r="B4" s="22">
        <v>96623</v>
      </c>
      <c r="C4" s="21">
        <v>89850</v>
      </c>
      <c r="D4" s="23">
        <v>3.8854000000000033</v>
      </c>
      <c r="E4" s="21">
        <v>307</v>
      </c>
    </row>
    <row r="10" spans="1:5" x14ac:dyDescent="0.3">
      <c r="A10" t="s">
        <v>1040</v>
      </c>
      <c r="B10" t="s">
        <v>1041</v>
      </c>
      <c r="C10" t="s">
        <v>1042</v>
      </c>
      <c r="D10" t="s">
        <v>1043</v>
      </c>
      <c r="E10" t="s">
        <v>1044</v>
      </c>
    </row>
    <row r="11" spans="1:5" x14ac:dyDescent="0.3">
      <c r="A11" s="21">
        <v>207</v>
      </c>
      <c r="B11" s="22">
        <v>20872</v>
      </c>
      <c r="C11" s="21">
        <v>17700</v>
      </c>
      <c r="D11" s="23">
        <v>3.8589371980676304</v>
      </c>
      <c r="E11" s="21">
        <v>60</v>
      </c>
    </row>
    <row r="20" spans="1:8" x14ac:dyDescent="0.3">
      <c r="A20" s="24" t="s">
        <v>1046</v>
      </c>
      <c r="B20" t="s">
        <v>1040</v>
      </c>
      <c r="C20" t="s">
        <v>1060</v>
      </c>
      <c r="G20" s="24" t="s">
        <v>1046</v>
      </c>
      <c r="H20" t="s">
        <v>1040</v>
      </c>
    </row>
    <row r="21" spans="1:8" x14ac:dyDescent="0.3">
      <c r="A21" s="25" t="s">
        <v>1048</v>
      </c>
      <c r="B21" s="21">
        <v>13</v>
      </c>
      <c r="C21" s="21">
        <v>13</v>
      </c>
      <c r="G21" s="25" t="s">
        <v>1064</v>
      </c>
      <c r="H21" s="21">
        <v>30</v>
      </c>
    </row>
    <row r="22" spans="1:8" x14ac:dyDescent="0.3">
      <c r="A22" s="25" t="s">
        <v>1049</v>
      </c>
      <c r="B22" s="21">
        <v>13</v>
      </c>
      <c r="C22" s="21">
        <v>13</v>
      </c>
      <c r="G22" s="25" t="s">
        <v>1062</v>
      </c>
      <c r="H22" s="21">
        <v>34</v>
      </c>
    </row>
    <row r="23" spans="1:8" x14ac:dyDescent="0.3">
      <c r="A23" s="25" t="s">
        <v>1050</v>
      </c>
      <c r="B23" s="21">
        <v>28</v>
      </c>
      <c r="C23" s="21">
        <v>28</v>
      </c>
      <c r="G23" s="25" t="s">
        <v>1066</v>
      </c>
      <c r="H23" s="21">
        <v>26</v>
      </c>
    </row>
    <row r="24" spans="1:8" x14ac:dyDescent="0.3">
      <c r="A24" s="25" t="s">
        <v>1051</v>
      </c>
      <c r="B24" s="21">
        <v>24</v>
      </c>
      <c r="C24" s="21">
        <v>24</v>
      </c>
      <c r="G24" s="25" t="s">
        <v>1067</v>
      </c>
      <c r="H24" s="21">
        <v>38</v>
      </c>
    </row>
    <row r="25" spans="1:8" x14ac:dyDescent="0.3">
      <c r="A25" s="25" t="s">
        <v>1052</v>
      </c>
      <c r="B25" s="21">
        <v>23</v>
      </c>
      <c r="C25" s="21">
        <v>23</v>
      </c>
      <c r="G25" s="25" t="s">
        <v>1065</v>
      </c>
      <c r="H25" s="21">
        <v>27</v>
      </c>
    </row>
    <row r="26" spans="1:8" x14ac:dyDescent="0.3">
      <c r="A26" s="25" t="s">
        <v>1053</v>
      </c>
      <c r="B26" s="21">
        <v>17</v>
      </c>
      <c r="C26" s="21">
        <v>17</v>
      </c>
      <c r="G26" s="25" t="s">
        <v>1061</v>
      </c>
      <c r="H26" s="21">
        <v>27</v>
      </c>
    </row>
    <row r="27" spans="1:8" x14ac:dyDescent="0.3">
      <c r="A27" s="25" t="s">
        <v>1054</v>
      </c>
      <c r="B27" s="21">
        <v>11</v>
      </c>
      <c r="C27" s="21">
        <v>11</v>
      </c>
      <c r="G27" s="25" t="s">
        <v>1063</v>
      </c>
      <c r="H27" s="21">
        <v>25</v>
      </c>
    </row>
    <row r="28" spans="1:8" x14ac:dyDescent="0.3">
      <c r="A28" s="25" t="s">
        <v>1055</v>
      </c>
      <c r="B28" s="21">
        <v>11</v>
      </c>
      <c r="C28" s="21">
        <v>11</v>
      </c>
      <c r="G28" s="25" t="s">
        <v>1047</v>
      </c>
      <c r="H28" s="21">
        <v>207</v>
      </c>
    </row>
    <row r="29" spans="1:8" x14ac:dyDescent="0.3">
      <c r="A29" s="25" t="s">
        <v>1056</v>
      </c>
      <c r="B29" s="21">
        <v>14</v>
      </c>
      <c r="C29" s="21">
        <v>14</v>
      </c>
    </row>
    <row r="30" spans="1:8" x14ac:dyDescent="0.3">
      <c r="A30" s="25" t="s">
        <v>1057</v>
      </c>
      <c r="B30" s="21">
        <v>30</v>
      </c>
      <c r="C30" s="21">
        <v>30</v>
      </c>
    </row>
    <row r="31" spans="1:8" x14ac:dyDescent="0.3">
      <c r="A31" s="25" t="s">
        <v>1058</v>
      </c>
      <c r="B31" s="21">
        <v>14</v>
      </c>
      <c r="C31" s="21">
        <v>14</v>
      </c>
    </row>
    <row r="32" spans="1:8" x14ac:dyDescent="0.3">
      <c r="A32" s="25" t="s">
        <v>1059</v>
      </c>
      <c r="B32" s="21">
        <v>9</v>
      </c>
      <c r="C32" s="21">
        <v>9</v>
      </c>
    </row>
    <row r="33" spans="1:9" x14ac:dyDescent="0.3">
      <c r="A33" s="25" t="s">
        <v>1047</v>
      </c>
      <c r="B33" s="21">
        <v>207</v>
      </c>
      <c r="C33" s="21">
        <v>207</v>
      </c>
    </row>
    <row r="39" spans="1:9" x14ac:dyDescent="0.3">
      <c r="E39" t="s">
        <v>1073</v>
      </c>
      <c r="G39" t="s">
        <v>1074</v>
      </c>
      <c r="H39" t="str">
        <f>A54</f>
        <v>R03</v>
      </c>
    </row>
    <row r="41" spans="1:9" x14ac:dyDescent="0.3">
      <c r="A41" s="24" t="s">
        <v>1046</v>
      </c>
      <c r="B41" t="s">
        <v>1040</v>
      </c>
      <c r="C41" t="s">
        <v>1041</v>
      </c>
      <c r="E41" t="s">
        <v>1068</v>
      </c>
      <c r="F41" t="s">
        <v>1069</v>
      </c>
      <c r="G41" t="s">
        <v>1070</v>
      </c>
      <c r="H41" t="s">
        <v>1072</v>
      </c>
      <c r="I41" t="s">
        <v>1071</v>
      </c>
    </row>
    <row r="42" spans="1:9" x14ac:dyDescent="0.3">
      <c r="A42" s="25" t="s">
        <v>11</v>
      </c>
      <c r="B42" s="21">
        <v>189</v>
      </c>
      <c r="C42" s="22">
        <v>18415</v>
      </c>
      <c r="E42" t="str" cm="1">
        <f t="array" ref="E42:G46">A42:C46</f>
        <v>R01</v>
      </c>
      <c r="F42">
        <v>189</v>
      </c>
      <c r="G42" s="26">
        <v>18415</v>
      </c>
      <c r="H42" t="e">
        <f>IF(E42=$H$39,F42,NA())</f>
        <v>#N/A</v>
      </c>
      <c r="I42" t="e">
        <f>IF(E42=$H$39,G42,NA())</f>
        <v>#N/A</v>
      </c>
    </row>
    <row r="43" spans="1:9" x14ac:dyDescent="0.3">
      <c r="A43" s="25" t="s">
        <v>9</v>
      </c>
      <c r="B43" s="21">
        <v>218</v>
      </c>
      <c r="C43" s="22">
        <v>20581</v>
      </c>
      <c r="E43" t="str">
        <v>R02</v>
      </c>
      <c r="F43">
        <v>218</v>
      </c>
      <c r="G43" s="26">
        <v>20581</v>
      </c>
      <c r="H43" t="e">
        <f t="shared" ref="H43:H46" si="0">IF(E43=$H$39,F43,NA())</f>
        <v>#N/A</v>
      </c>
      <c r="I43" t="e">
        <f t="shared" ref="I43:I46" si="1">IF(E43=$H$39,G43,NA())</f>
        <v>#N/A</v>
      </c>
    </row>
    <row r="44" spans="1:9" x14ac:dyDescent="0.3">
      <c r="A44" s="25" t="s">
        <v>6</v>
      </c>
      <c r="B44" s="21">
        <v>207</v>
      </c>
      <c r="C44" s="22">
        <v>20872</v>
      </c>
      <c r="E44" t="str">
        <v>R03</v>
      </c>
      <c r="F44">
        <v>207</v>
      </c>
      <c r="G44" s="26">
        <v>20872</v>
      </c>
      <c r="H44">
        <f t="shared" si="0"/>
        <v>207</v>
      </c>
      <c r="I44">
        <f t="shared" si="1"/>
        <v>20872</v>
      </c>
    </row>
    <row r="45" spans="1:9" x14ac:dyDescent="0.3">
      <c r="A45" s="25" t="s">
        <v>13</v>
      </c>
      <c r="B45" s="21">
        <v>186</v>
      </c>
      <c r="C45" s="22">
        <v>16651</v>
      </c>
      <c r="E45" t="str">
        <v>R04</v>
      </c>
      <c r="F45">
        <v>186</v>
      </c>
      <c r="G45" s="26">
        <v>16651</v>
      </c>
      <c r="H45" t="e">
        <f t="shared" si="0"/>
        <v>#N/A</v>
      </c>
      <c r="I45" t="e">
        <f t="shared" si="1"/>
        <v>#N/A</v>
      </c>
    </row>
    <row r="46" spans="1:9" x14ac:dyDescent="0.3">
      <c r="A46" s="25" t="s">
        <v>10</v>
      </c>
      <c r="B46" s="21">
        <v>200</v>
      </c>
      <c r="C46" s="22">
        <v>20104</v>
      </c>
      <c r="E46" t="str">
        <v>R05</v>
      </c>
      <c r="F46">
        <v>200</v>
      </c>
      <c r="G46" s="26">
        <v>20104</v>
      </c>
      <c r="H46" t="e">
        <f t="shared" si="0"/>
        <v>#N/A</v>
      </c>
      <c r="I46" t="e">
        <f t="shared" si="1"/>
        <v>#N/A</v>
      </c>
    </row>
    <row r="47" spans="1:9" x14ac:dyDescent="0.3">
      <c r="A47" s="25" t="s">
        <v>1047</v>
      </c>
      <c r="B47" s="21">
        <v>1000</v>
      </c>
      <c r="C47" s="22">
        <v>96623</v>
      </c>
    </row>
    <row r="53" spans="1:6" x14ac:dyDescent="0.3">
      <c r="A53" s="24" t="s">
        <v>1046</v>
      </c>
      <c r="F53" s="41"/>
    </row>
    <row r="54" spans="1:6" x14ac:dyDescent="0.3">
      <c r="A54" s="27" t="s">
        <v>6</v>
      </c>
    </row>
    <row r="61" spans="1:6" x14ac:dyDescent="0.3">
      <c r="A61" s="24" t="s">
        <v>1040</v>
      </c>
      <c r="B61" s="24" t="s">
        <v>1075</v>
      </c>
    </row>
    <row r="62" spans="1:6" x14ac:dyDescent="0.3">
      <c r="A62" s="24" t="s">
        <v>1046</v>
      </c>
      <c r="B62" t="s">
        <v>999</v>
      </c>
      <c r="C62" t="s">
        <v>998</v>
      </c>
      <c r="D62" t="s">
        <v>1047</v>
      </c>
    </row>
    <row r="63" spans="1:6" x14ac:dyDescent="0.3">
      <c r="A63" s="25" t="s">
        <v>1002</v>
      </c>
      <c r="B63" s="21">
        <v>144</v>
      </c>
      <c r="C63" s="21">
        <v>132</v>
      </c>
      <c r="D63" s="21">
        <v>276</v>
      </c>
    </row>
    <row r="64" spans="1:6" x14ac:dyDescent="0.3">
      <c r="A64" s="25" t="s">
        <v>1001</v>
      </c>
      <c r="B64" s="21">
        <v>326</v>
      </c>
      <c r="C64" s="21">
        <v>63</v>
      </c>
      <c r="D64" s="21">
        <v>389</v>
      </c>
    </row>
    <row r="65" spans="1:4" x14ac:dyDescent="0.3">
      <c r="A65" s="25" t="s">
        <v>1000</v>
      </c>
      <c r="B65" s="21">
        <v>129</v>
      </c>
      <c r="C65" s="21">
        <v>206</v>
      </c>
      <c r="D65" s="21">
        <v>335</v>
      </c>
    </row>
    <row r="66" spans="1:4" x14ac:dyDescent="0.3">
      <c r="A66" s="25" t="s">
        <v>1047</v>
      </c>
      <c r="B66" s="21">
        <v>599</v>
      </c>
      <c r="C66" s="21">
        <v>401</v>
      </c>
      <c r="D66" s="21">
        <v>1000</v>
      </c>
    </row>
    <row r="71" spans="1:4" x14ac:dyDescent="0.3">
      <c r="A71" s="24" t="s">
        <v>1046</v>
      </c>
      <c r="B71" t="s">
        <v>1040</v>
      </c>
    </row>
    <row r="72" spans="1:4" x14ac:dyDescent="0.3">
      <c r="A72" s="25">
        <v>2</v>
      </c>
      <c r="B72" s="21">
        <v>11</v>
      </c>
    </row>
    <row r="73" spans="1:4" x14ac:dyDescent="0.3">
      <c r="A73" s="25">
        <v>3</v>
      </c>
      <c r="B73" s="21">
        <v>46</v>
      </c>
    </row>
    <row r="74" spans="1:4" x14ac:dyDescent="0.3">
      <c r="A74" s="25">
        <v>4</v>
      </c>
      <c r="B74" s="21">
        <v>88</v>
      </c>
    </row>
    <row r="75" spans="1:4" x14ac:dyDescent="0.3">
      <c r="A75" s="25">
        <v>5</v>
      </c>
      <c r="B75" s="21">
        <v>60</v>
      </c>
    </row>
    <row r="76" spans="1:4" x14ac:dyDescent="0.3">
      <c r="A76" s="25">
        <v>1</v>
      </c>
      <c r="B76" s="21">
        <v>1</v>
      </c>
    </row>
    <row r="77" spans="1:4" x14ac:dyDescent="0.3">
      <c r="A77" s="25">
        <v>0</v>
      </c>
      <c r="B77" s="21">
        <v>1</v>
      </c>
    </row>
    <row r="78" spans="1:4" x14ac:dyDescent="0.3">
      <c r="A78" s="25" t="s">
        <v>1047</v>
      </c>
      <c r="B78" s="21">
        <v>207</v>
      </c>
    </row>
    <row r="81" spans="1:7" x14ac:dyDescent="0.3">
      <c r="A81" s="24" t="s">
        <v>1041</v>
      </c>
      <c r="B81" s="24" t="s">
        <v>1075</v>
      </c>
    </row>
    <row r="82" spans="1:7" x14ac:dyDescent="0.3">
      <c r="A82" s="24" t="s">
        <v>1046</v>
      </c>
      <c r="B82" t="s">
        <v>11</v>
      </c>
      <c r="C82" t="s">
        <v>9</v>
      </c>
      <c r="D82" t="s">
        <v>6</v>
      </c>
      <c r="E82" t="s">
        <v>13</v>
      </c>
      <c r="F82" t="s">
        <v>10</v>
      </c>
      <c r="G82" t="s">
        <v>1047</v>
      </c>
    </row>
    <row r="83" spans="1:7" x14ac:dyDescent="0.3">
      <c r="A83" s="25" t="s">
        <v>1002</v>
      </c>
    </row>
    <row r="84" spans="1:7" x14ac:dyDescent="0.3">
      <c r="A84" s="28" t="s">
        <v>20</v>
      </c>
      <c r="B84" s="22">
        <v>891</v>
      </c>
      <c r="C84" s="22">
        <v>1332</v>
      </c>
      <c r="D84" s="22">
        <v>1282</v>
      </c>
      <c r="E84" s="22">
        <v>739</v>
      </c>
      <c r="F84" s="22">
        <v>560</v>
      </c>
      <c r="G84" s="22">
        <v>4804</v>
      </c>
    </row>
    <row r="85" spans="1:7" x14ac:dyDescent="0.3">
      <c r="A85" s="28" t="s">
        <v>12</v>
      </c>
      <c r="B85" s="22">
        <v>1991</v>
      </c>
      <c r="C85" s="22">
        <v>1886</v>
      </c>
      <c r="D85" s="22">
        <v>1206</v>
      </c>
      <c r="E85" s="22">
        <v>884</v>
      </c>
      <c r="F85" s="22">
        <v>1722</v>
      </c>
      <c r="G85" s="22">
        <v>7689</v>
      </c>
    </row>
    <row r="86" spans="1:7" x14ac:dyDescent="0.3">
      <c r="A86" s="28" t="s">
        <v>8</v>
      </c>
      <c r="B86" s="22">
        <v>1163</v>
      </c>
      <c r="C86" s="22">
        <v>1180</v>
      </c>
      <c r="D86" s="22">
        <v>1616</v>
      </c>
      <c r="E86" s="22">
        <v>1043</v>
      </c>
      <c r="F86" s="22">
        <v>1747</v>
      </c>
      <c r="G86" s="22">
        <v>6749</v>
      </c>
    </row>
    <row r="87" spans="1:7" x14ac:dyDescent="0.3">
      <c r="A87" s="28" t="s">
        <v>16</v>
      </c>
      <c r="B87" s="22">
        <v>1438</v>
      </c>
      <c r="C87" s="22">
        <v>1616</v>
      </c>
      <c r="D87" s="22">
        <v>866</v>
      </c>
      <c r="E87" s="22">
        <v>829</v>
      </c>
      <c r="F87" s="22">
        <v>2070</v>
      </c>
      <c r="G87" s="22">
        <v>6819</v>
      </c>
    </row>
    <row r="88" spans="1:7" x14ac:dyDescent="0.3">
      <c r="A88" s="25" t="s">
        <v>1001</v>
      </c>
    </row>
    <row r="89" spans="1:7" x14ac:dyDescent="0.3">
      <c r="A89" s="28" t="s">
        <v>24</v>
      </c>
      <c r="B89" s="22">
        <v>1233</v>
      </c>
      <c r="C89" s="22">
        <v>223</v>
      </c>
      <c r="D89" s="22">
        <v>1680</v>
      </c>
      <c r="E89" s="22">
        <v>990</v>
      </c>
      <c r="F89" s="22">
        <v>1508</v>
      </c>
      <c r="G89" s="22">
        <v>5634</v>
      </c>
    </row>
    <row r="90" spans="1:7" x14ac:dyDescent="0.3">
      <c r="A90" s="28" t="s">
        <v>15</v>
      </c>
      <c r="B90" s="22">
        <v>1598</v>
      </c>
      <c r="C90" s="22">
        <v>1907</v>
      </c>
      <c r="D90" s="22">
        <v>869</v>
      </c>
      <c r="E90" s="22">
        <v>1426</v>
      </c>
      <c r="F90" s="22">
        <v>1416</v>
      </c>
      <c r="G90" s="22">
        <v>7216</v>
      </c>
    </row>
    <row r="91" spans="1:7" x14ac:dyDescent="0.3">
      <c r="A91" s="28" t="s">
        <v>5</v>
      </c>
      <c r="B91" s="22">
        <v>900</v>
      </c>
      <c r="C91" s="22">
        <v>1016</v>
      </c>
      <c r="D91" s="22">
        <v>960</v>
      </c>
      <c r="E91" s="22">
        <v>940</v>
      </c>
      <c r="F91" s="22">
        <v>1193</v>
      </c>
      <c r="G91" s="22">
        <v>5009</v>
      </c>
    </row>
    <row r="92" spans="1:7" x14ac:dyDescent="0.3">
      <c r="A92" s="28" t="s">
        <v>18</v>
      </c>
      <c r="B92" s="22">
        <v>900</v>
      </c>
      <c r="C92" s="22">
        <v>1470</v>
      </c>
      <c r="D92" s="22">
        <v>1617</v>
      </c>
      <c r="E92" s="22">
        <v>1314</v>
      </c>
      <c r="F92" s="22">
        <v>941</v>
      </c>
      <c r="G92" s="22">
        <v>6242</v>
      </c>
    </row>
    <row r="93" spans="1:7" x14ac:dyDescent="0.3">
      <c r="A93" s="28" t="s">
        <v>14</v>
      </c>
      <c r="B93" s="22">
        <v>1255</v>
      </c>
      <c r="C93" s="22">
        <v>516</v>
      </c>
      <c r="D93" s="22">
        <v>1874</v>
      </c>
      <c r="E93" s="22">
        <v>1863</v>
      </c>
      <c r="F93" s="22">
        <v>1722</v>
      </c>
      <c r="G93" s="22">
        <v>7230</v>
      </c>
    </row>
    <row r="94" spans="1:7" x14ac:dyDescent="0.3">
      <c r="A94" s="28" t="s">
        <v>19</v>
      </c>
      <c r="B94" s="22">
        <v>1138</v>
      </c>
      <c r="C94" s="22">
        <v>1898</v>
      </c>
      <c r="D94" s="22">
        <v>1482</v>
      </c>
      <c r="E94" s="22">
        <v>846</v>
      </c>
      <c r="F94" s="22">
        <v>1154</v>
      </c>
      <c r="G94" s="22">
        <v>6518</v>
      </c>
    </row>
    <row r="95" spans="1:7" x14ac:dyDescent="0.3">
      <c r="A95" s="25" t="s">
        <v>1000</v>
      </c>
    </row>
    <row r="96" spans="1:7" x14ac:dyDescent="0.3">
      <c r="A96" s="28" t="s">
        <v>17</v>
      </c>
      <c r="B96" s="22">
        <v>1655</v>
      </c>
      <c r="C96" s="22">
        <v>805</v>
      </c>
      <c r="D96" s="22">
        <v>2263</v>
      </c>
      <c r="E96" s="22">
        <v>987</v>
      </c>
      <c r="F96" s="22">
        <v>1075</v>
      </c>
      <c r="G96" s="22">
        <v>6785</v>
      </c>
    </row>
    <row r="97" spans="1:7" x14ac:dyDescent="0.3">
      <c r="A97" s="28" t="s">
        <v>23</v>
      </c>
      <c r="B97" s="22">
        <v>1104</v>
      </c>
      <c r="C97" s="22">
        <v>2280</v>
      </c>
      <c r="D97" s="22">
        <v>1445</v>
      </c>
      <c r="E97" s="22">
        <v>1722</v>
      </c>
      <c r="F97" s="22">
        <v>1196</v>
      </c>
      <c r="G97" s="22">
        <v>7747</v>
      </c>
    </row>
    <row r="98" spans="1:7" x14ac:dyDescent="0.3">
      <c r="A98" s="28" t="s">
        <v>7</v>
      </c>
      <c r="B98" s="22">
        <v>372</v>
      </c>
      <c r="C98" s="22">
        <v>1818</v>
      </c>
      <c r="D98" s="22">
        <v>1346</v>
      </c>
      <c r="E98" s="22">
        <v>1156</v>
      </c>
      <c r="F98" s="22">
        <v>1484</v>
      </c>
      <c r="G98" s="22">
        <v>6176</v>
      </c>
    </row>
    <row r="99" spans="1:7" x14ac:dyDescent="0.3">
      <c r="A99" s="28" t="s">
        <v>22</v>
      </c>
      <c r="B99" s="22">
        <v>1415</v>
      </c>
      <c r="C99" s="22">
        <v>1271</v>
      </c>
      <c r="D99" s="22">
        <v>1214</v>
      </c>
      <c r="E99" s="22">
        <v>1135</v>
      </c>
      <c r="F99" s="22">
        <v>1566</v>
      </c>
      <c r="G99" s="22">
        <v>6601</v>
      </c>
    </row>
    <row r="100" spans="1:7" x14ac:dyDescent="0.3">
      <c r="A100" s="28" t="s">
        <v>21</v>
      </c>
      <c r="B100" s="22">
        <v>1362</v>
      </c>
      <c r="C100" s="22">
        <v>1363</v>
      </c>
      <c r="D100" s="22">
        <v>1152</v>
      </c>
      <c r="E100" s="22">
        <v>777</v>
      </c>
      <c r="F100" s="22">
        <v>750</v>
      </c>
      <c r="G100" s="22">
        <v>5404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A4" zoomScale="63" zoomScaleNormal="63" workbookViewId="0">
      <selection activeCell="K12" sqref="K12"/>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81" zoomScaleNormal="45" workbookViewId="0">
      <selection activeCell="F12" sqref="F12"/>
    </sheetView>
  </sheetViews>
  <sheetFormatPr defaultRowHeight="14.4" x14ac:dyDescent="0.3"/>
  <cols>
    <col min="5" max="5" width="10.8984375" customWidth="1"/>
    <col min="6" max="6" width="12.69921875" customWidth="1"/>
  </cols>
  <sheetData>
    <row r="3" ht="25.5" customHeight="1" x14ac:dyDescent="0.3"/>
    <row r="4" ht="25.5" customHeight="1" x14ac:dyDescent="0.3"/>
    <row r="5" ht="25.5" customHeight="1" x14ac:dyDescent="0.3"/>
    <row r="6" ht="25.5" customHeight="1" x14ac:dyDescent="0.3"/>
    <row r="7" ht="25.5" customHeight="1"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EC87C-4743-46CA-8B13-C07017E530A7}">
  <dimension ref="A1:AC41"/>
  <sheetViews>
    <sheetView tabSelected="1" zoomScale="67" workbookViewId="0">
      <selection activeCell="AE12" sqref="AE12"/>
    </sheetView>
  </sheetViews>
  <sheetFormatPr defaultRowHeight="14.4" x14ac:dyDescent="0.3"/>
  <cols>
    <col min="1" max="2" width="1.19921875" customWidth="1"/>
    <col min="5" max="5" width="2.296875" customWidth="1"/>
    <col min="15" max="15" width="11.796875" customWidth="1"/>
    <col min="16" max="16" width="2.5" customWidth="1"/>
    <col min="21" max="21" width="6.19921875" customWidth="1"/>
  </cols>
  <sheetData>
    <row r="1" spans="1:29" ht="42" customHeight="1" x14ac:dyDescent="0.6">
      <c r="A1" s="20"/>
      <c r="B1" s="20"/>
      <c r="C1" s="42" t="s">
        <v>1078</v>
      </c>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ht="4.2" customHeight="1" x14ac:dyDescent="0.3">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spans="1:29" x14ac:dyDescent="0.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row>
    <row r="4" spans="1:29" x14ac:dyDescent="0.3">
      <c r="A4" s="20"/>
      <c r="B4" s="20"/>
      <c r="C4" s="20"/>
      <c r="D4" s="20"/>
      <c r="E4" s="20"/>
      <c r="F4" s="20"/>
      <c r="G4" s="20"/>
      <c r="H4" s="20" t="s">
        <v>1045</v>
      </c>
      <c r="I4" s="20"/>
      <c r="J4" s="20"/>
      <c r="K4" s="20"/>
      <c r="L4" s="20"/>
      <c r="M4" s="20"/>
      <c r="N4" s="20"/>
      <c r="O4" s="20"/>
      <c r="P4" s="20"/>
      <c r="Q4" s="20"/>
      <c r="R4" s="20"/>
      <c r="S4" s="20"/>
      <c r="T4" s="20"/>
      <c r="U4" s="20"/>
      <c r="V4" s="20"/>
      <c r="W4" s="20"/>
      <c r="X4" s="20"/>
      <c r="Y4" s="20"/>
      <c r="Z4" s="20"/>
      <c r="AA4" s="20"/>
      <c r="AB4" s="20"/>
      <c r="AC4" s="20"/>
    </row>
    <row r="5" spans="1:29" x14ac:dyDescent="0.3">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row>
    <row r="6" spans="1:29" x14ac:dyDescent="0.3">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row>
    <row r="7" spans="1:29" x14ac:dyDescent="0.3">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row>
    <row r="8" spans="1:29" x14ac:dyDescent="0.3">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row>
    <row r="9" spans="1:29" x14ac:dyDescent="0.3">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row>
    <row r="10" spans="1:29"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row>
    <row r="11" spans="1:29"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row>
    <row r="12" spans="1:29"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row>
    <row r="13" spans="1:29"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row>
    <row r="14" spans="1:29"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row>
    <row r="15" spans="1:29"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row>
    <row r="16" spans="1:29"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row>
    <row r="17" spans="1:29"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row>
    <row r="18" spans="1:29" x14ac:dyDescent="0.3">
      <c r="A18" s="20"/>
      <c r="B18" s="20"/>
      <c r="C18" s="20"/>
      <c r="D18" s="20"/>
      <c r="E18" s="20"/>
      <c r="F18" s="20"/>
      <c r="G18" s="20"/>
      <c r="H18" s="20"/>
      <c r="I18" s="20"/>
      <c r="J18" s="20"/>
      <c r="K18" s="20"/>
      <c r="L18" s="20"/>
      <c r="M18" s="20"/>
      <c r="N18" s="20"/>
      <c r="O18" s="20"/>
      <c r="P18" s="20"/>
      <c r="Q18" s="29"/>
      <c r="R18" s="38" t="str" cm="1">
        <f t="array" ref="R18:V18">pivots!B82:F82</f>
        <v>R01</v>
      </c>
      <c r="S18" s="38" t="str">
        <v>R02</v>
      </c>
      <c r="T18" s="38" t="str">
        <v>R03</v>
      </c>
      <c r="U18" s="38" t="str">
        <v>R04</v>
      </c>
      <c r="V18" s="38" t="str">
        <v>R05</v>
      </c>
      <c r="W18" s="39" t="s">
        <v>1076</v>
      </c>
      <c r="X18" s="20"/>
      <c r="Y18" s="20"/>
      <c r="Z18" s="20"/>
      <c r="AA18" s="20"/>
      <c r="AB18" s="20"/>
      <c r="AC18" s="20"/>
    </row>
    <row r="19" spans="1:29" x14ac:dyDescent="0.3">
      <c r="A19" s="20"/>
      <c r="B19" s="20"/>
      <c r="C19" s="20"/>
      <c r="D19" s="20"/>
      <c r="E19" s="20"/>
      <c r="F19" s="20"/>
      <c r="G19" s="20"/>
      <c r="H19" s="20"/>
      <c r="I19" s="20"/>
      <c r="J19" s="20"/>
      <c r="K19" s="20"/>
      <c r="L19" s="20"/>
      <c r="M19" s="20"/>
      <c r="N19" s="20"/>
      <c r="O19" s="20"/>
      <c r="P19" s="20"/>
      <c r="Q19" s="40" t="str" cm="1">
        <f t="array" ref="Q19:W36">IF(pivots!A83:G100="","",pivots!A83:G100)</f>
        <v>Cincinnati</v>
      </c>
      <c r="R19" s="30" t="str">
        <v/>
      </c>
      <c r="S19" s="30" t="str">
        <v/>
      </c>
      <c r="T19" s="30" t="str">
        <v/>
      </c>
      <c r="U19" s="30" t="str">
        <v/>
      </c>
      <c r="V19" s="30" t="str">
        <v/>
      </c>
      <c r="W19" s="31" t="str">
        <v/>
      </c>
      <c r="X19" s="20"/>
      <c r="Y19" s="20"/>
      <c r="Z19" s="20"/>
      <c r="AA19" s="20"/>
      <c r="AB19" s="20"/>
      <c r="AC19" s="20"/>
    </row>
    <row r="20" spans="1:29" x14ac:dyDescent="0.3">
      <c r="A20" s="20"/>
      <c r="B20" s="20"/>
      <c r="C20" s="20"/>
      <c r="D20" s="20"/>
      <c r="E20" s="20"/>
      <c r="F20" s="20"/>
      <c r="G20" s="20"/>
      <c r="H20" s="20"/>
      <c r="I20" s="20"/>
      <c r="J20" s="20"/>
      <c r="K20" s="20"/>
      <c r="L20" s="20"/>
      <c r="M20" s="20"/>
      <c r="N20" s="20"/>
      <c r="O20" s="20"/>
      <c r="P20" s="20"/>
      <c r="Q20" s="32" t="str">
        <v>C0003</v>
      </c>
      <c r="R20" s="33">
        <v>891</v>
      </c>
      <c r="S20" s="33">
        <v>1332</v>
      </c>
      <c r="T20" s="33">
        <v>1282</v>
      </c>
      <c r="U20" s="33">
        <v>739</v>
      </c>
      <c r="V20" s="33">
        <v>560</v>
      </c>
      <c r="W20" s="34">
        <v>4804</v>
      </c>
      <c r="X20" s="20"/>
      <c r="Y20" s="20"/>
      <c r="Z20" s="20"/>
      <c r="AA20" s="20"/>
      <c r="AB20" s="20"/>
      <c r="AC20" s="20"/>
    </row>
    <row r="21" spans="1:29" x14ac:dyDescent="0.3">
      <c r="A21" s="20"/>
      <c r="B21" s="20"/>
      <c r="C21" s="20"/>
      <c r="D21" s="20"/>
      <c r="E21" s="20"/>
      <c r="F21" s="20"/>
      <c r="G21" s="20"/>
      <c r="H21" s="20"/>
      <c r="I21" s="20"/>
      <c r="J21" s="20"/>
      <c r="K21" s="20"/>
      <c r="L21" s="20"/>
      <c r="M21" s="20"/>
      <c r="N21" s="20"/>
      <c r="O21" s="20"/>
      <c r="P21" s="20"/>
      <c r="Q21" s="32" t="str">
        <v>C0004</v>
      </c>
      <c r="R21" s="33">
        <v>1991</v>
      </c>
      <c r="S21" s="33">
        <v>1886</v>
      </c>
      <c r="T21" s="33">
        <v>1206</v>
      </c>
      <c r="U21" s="33">
        <v>884</v>
      </c>
      <c r="V21" s="33">
        <v>1722</v>
      </c>
      <c r="W21" s="34">
        <v>7689</v>
      </c>
      <c r="X21" s="20"/>
      <c r="Y21" s="20"/>
      <c r="Z21" s="20"/>
      <c r="AA21" s="20"/>
      <c r="AB21" s="20"/>
      <c r="AC21" s="20"/>
    </row>
    <row r="22" spans="1:29" x14ac:dyDescent="0.3">
      <c r="A22" s="20"/>
      <c r="B22" s="20"/>
      <c r="C22" s="20"/>
      <c r="D22" s="20"/>
      <c r="E22" s="20"/>
      <c r="F22" s="20"/>
      <c r="G22" s="20"/>
      <c r="H22" s="20"/>
      <c r="I22" s="20"/>
      <c r="J22" s="20"/>
      <c r="K22" s="20"/>
      <c r="L22" s="20"/>
      <c r="M22" s="20"/>
      <c r="N22" s="20"/>
      <c r="O22" s="20"/>
      <c r="P22" s="20"/>
      <c r="Q22" s="32" t="str">
        <v>C0011</v>
      </c>
      <c r="R22" s="33">
        <v>1163</v>
      </c>
      <c r="S22" s="33">
        <v>1180</v>
      </c>
      <c r="T22" s="33">
        <v>1616</v>
      </c>
      <c r="U22" s="33">
        <v>1043</v>
      </c>
      <c r="V22" s="33">
        <v>1747</v>
      </c>
      <c r="W22" s="34">
        <v>6749</v>
      </c>
      <c r="X22" s="20"/>
      <c r="Y22" s="20"/>
      <c r="Z22" s="20"/>
      <c r="AA22" s="20"/>
      <c r="AB22" s="20"/>
      <c r="AC22" s="20"/>
    </row>
    <row r="23" spans="1:29" x14ac:dyDescent="0.3">
      <c r="A23" s="20"/>
      <c r="B23" s="20"/>
      <c r="C23" s="20"/>
      <c r="D23" s="20"/>
      <c r="E23" s="20"/>
      <c r="F23" s="20"/>
      <c r="G23" s="20"/>
      <c r="H23" s="20"/>
      <c r="I23" s="20"/>
      <c r="J23" s="20"/>
      <c r="K23" s="20"/>
      <c r="L23" s="20"/>
      <c r="M23" s="20"/>
      <c r="N23" s="20"/>
      <c r="O23" s="20"/>
      <c r="P23" s="20"/>
      <c r="Q23" s="32" t="str">
        <v>C0012</v>
      </c>
      <c r="R23" s="33">
        <v>1438</v>
      </c>
      <c r="S23" s="33">
        <v>1616</v>
      </c>
      <c r="T23" s="33">
        <v>866</v>
      </c>
      <c r="U23" s="33">
        <v>829</v>
      </c>
      <c r="V23" s="33">
        <v>2070</v>
      </c>
      <c r="W23" s="34">
        <v>6819</v>
      </c>
      <c r="X23" s="20"/>
      <c r="Y23" s="20"/>
      <c r="Z23" s="20"/>
      <c r="AA23" s="20"/>
      <c r="AB23" s="20"/>
      <c r="AC23" s="20"/>
    </row>
    <row r="24" spans="1:29" x14ac:dyDescent="0.3">
      <c r="A24" s="20"/>
      <c r="B24" s="20"/>
      <c r="C24" s="20"/>
      <c r="D24" s="20"/>
      <c r="E24" s="20"/>
      <c r="F24" s="20"/>
      <c r="G24" s="20"/>
      <c r="H24" s="20"/>
      <c r="I24" s="20"/>
      <c r="J24" s="20"/>
      <c r="K24" s="20"/>
      <c r="L24" s="20"/>
      <c r="M24" s="20"/>
      <c r="N24" s="20"/>
      <c r="O24" s="20"/>
      <c r="P24" s="20"/>
      <c r="Q24" s="40" t="str">
        <v>Cleveland</v>
      </c>
      <c r="R24" s="33" t="str">
        <v/>
      </c>
      <c r="S24" s="33" t="str">
        <v/>
      </c>
      <c r="T24" s="33" t="str">
        <v/>
      </c>
      <c r="U24" s="33" t="str">
        <v/>
      </c>
      <c r="V24" s="33" t="str">
        <v/>
      </c>
      <c r="W24" s="34" t="str">
        <v/>
      </c>
      <c r="X24" s="20"/>
      <c r="Y24" s="20"/>
      <c r="Z24" s="20"/>
      <c r="AA24" s="20"/>
      <c r="AB24" s="20"/>
      <c r="AC24" s="20"/>
    </row>
    <row r="25" spans="1:29" x14ac:dyDescent="0.3">
      <c r="A25" s="20"/>
      <c r="B25" s="20"/>
      <c r="C25" s="20"/>
      <c r="D25" s="20"/>
      <c r="E25" s="20"/>
      <c r="F25" s="20"/>
      <c r="G25" s="20"/>
      <c r="H25" s="20"/>
      <c r="I25" s="20"/>
      <c r="J25" s="20"/>
      <c r="K25" s="20"/>
      <c r="L25" s="20"/>
      <c r="M25" s="20"/>
      <c r="N25" s="20"/>
      <c r="O25" s="20"/>
      <c r="P25" s="20"/>
      <c r="Q25" s="32" t="str">
        <v>C0002</v>
      </c>
      <c r="R25" s="33">
        <v>1233</v>
      </c>
      <c r="S25" s="33">
        <v>223</v>
      </c>
      <c r="T25" s="33">
        <v>1680</v>
      </c>
      <c r="U25" s="33">
        <v>990</v>
      </c>
      <c r="V25" s="33">
        <v>1508</v>
      </c>
      <c r="W25" s="34">
        <v>5634</v>
      </c>
      <c r="X25" s="20"/>
      <c r="Y25" s="20"/>
      <c r="Z25" s="20"/>
      <c r="AA25" s="20"/>
      <c r="AB25" s="20"/>
      <c r="AC25" s="20"/>
    </row>
    <row r="26" spans="1:29" x14ac:dyDescent="0.3">
      <c r="A26" s="20"/>
      <c r="B26" s="20"/>
      <c r="C26" s="20"/>
      <c r="D26" s="20"/>
      <c r="E26" s="20"/>
      <c r="F26" s="20"/>
      <c r="G26" s="20"/>
      <c r="H26" s="20"/>
      <c r="I26" s="20"/>
      <c r="J26" s="20"/>
      <c r="K26" s="20"/>
      <c r="L26" s="20"/>
      <c r="M26" s="20"/>
      <c r="N26" s="20"/>
      <c r="O26" s="20"/>
      <c r="P26" s="20"/>
      <c r="Q26" s="32" t="str">
        <v>C0007</v>
      </c>
      <c r="R26" s="33">
        <v>1598</v>
      </c>
      <c r="S26" s="33">
        <v>1907</v>
      </c>
      <c r="T26" s="33">
        <v>869</v>
      </c>
      <c r="U26" s="33">
        <v>1426</v>
      </c>
      <c r="V26" s="33">
        <v>1416</v>
      </c>
      <c r="W26" s="34">
        <v>7216</v>
      </c>
      <c r="X26" s="20"/>
      <c r="Y26" s="20"/>
      <c r="Z26" s="20"/>
      <c r="AA26" s="20"/>
      <c r="AB26" s="20"/>
      <c r="AC26" s="20"/>
    </row>
    <row r="27" spans="1:29" x14ac:dyDescent="0.3">
      <c r="A27" s="20"/>
      <c r="B27" s="20"/>
      <c r="C27" s="20"/>
      <c r="D27" s="20"/>
      <c r="E27" s="20"/>
      <c r="F27" s="20"/>
      <c r="G27" s="20"/>
      <c r="H27" s="20"/>
      <c r="I27" s="20"/>
      <c r="J27" s="20"/>
      <c r="K27" s="20"/>
      <c r="L27" s="20"/>
      <c r="M27" s="20"/>
      <c r="N27" s="20"/>
      <c r="O27" s="20"/>
      <c r="P27" s="20"/>
      <c r="Q27" s="32" t="str">
        <v>C0008</v>
      </c>
      <c r="R27" s="33">
        <v>900</v>
      </c>
      <c r="S27" s="33">
        <v>1016</v>
      </c>
      <c r="T27" s="33">
        <v>960</v>
      </c>
      <c r="U27" s="33">
        <v>940</v>
      </c>
      <c r="V27" s="33">
        <v>1193</v>
      </c>
      <c r="W27" s="34">
        <v>5009</v>
      </c>
      <c r="X27" s="20"/>
      <c r="Y27" s="20"/>
      <c r="Z27" s="20"/>
      <c r="AA27" s="20"/>
      <c r="AB27" s="20"/>
      <c r="AC27" s="20"/>
    </row>
    <row r="28" spans="1:29" x14ac:dyDescent="0.3">
      <c r="A28" s="20"/>
      <c r="B28" s="20"/>
      <c r="C28" s="20"/>
      <c r="D28" s="20"/>
      <c r="E28" s="20"/>
      <c r="F28" s="20"/>
      <c r="G28" s="20"/>
      <c r="H28" s="20"/>
      <c r="I28" s="20"/>
      <c r="J28" s="20"/>
      <c r="K28" s="20"/>
      <c r="L28" s="20"/>
      <c r="M28" s="20"/>
      <c r="N28" s="20"/>
      <c r="O28" s="20"/>
      <c r="P28" s="20"/>
      <c r="Q28" s="32" t="str">
        <v>C0010</v>
      </c>
      <c r="R28" s="33">
        <v>900</v>
      </c>
      <c r="S28" s="33">
        <v>1470</v>
      </c>
      <c r="T28" s="33">
        <v>1617</v>
      </c>
      <c r="U28" s="33">
        <v>1314</v>
      </c>
      <c r="V28" s="33">
        <v>941</v>
      </c>
      <c r="W28" s="34">
        <v>6242</v>
      </c>
      <c r="X28" s="20"/>
      <c r="Y28" s="20"/>
      <c r="Z28" s="20"/>
      <c r="AA28" s="20"/>
      <c r="AB28" s="20"/>
      <c r="AC28" s="20"/>
    </row>
    <row r="29" spans="1:29" x14ac:dyDescent="0.3">
      <c r="A29" s="20"/>
      <c r="B29" s="20"/>
      <c r="C29" s="20"/>
      <c r="D29" s="20"/>
      <c r="E29" s="20"/>
      <c r="F29" s="20"/>
      <c r="G29" s="20"/>
      <c r="H29" s="20"/>
      <c r="I29" s="20"/>
      <c r="J29" s="20"/>
      <c r="K29" s="20"/>
      <c r="L29" s="20"/>
      <c r="M29" s="20"/>
      <c r="N29" s="20"/>
      <c r="O29" s="20"/>
      <c r="P29" s="20"/>
      <c r="Q29" s="32" t="str">
        <v>C0013</v>
      </c>
      <c r="R29" s="33">
        <v>1255</v>
      </c>
      <c r="S29" s="33">
        <v>516</v>
      </c>
      <c r="T29" s="33">
        <v>1874</v>
      </c>
      <c r="U29" s="33">
        <v>1863</v>
      </c>
      <c r="V29" s="33">
        <v>1722</v>
      </c>
      <c r="W29" s="34">
        <v>7230</v>
      </c>
      <c r="X29" s="20"/>
      <c r="Y29" s="20"/>
      <c r="Z29" s="20"/>
      <c r="AA29" s="20"/>
      <c r="AB29" s="20"/>
      <c r="AC29" s="20"/>
    </row>
    <row r="30" spans="1:29" x14ac:dyDescent="0.3">
      <c r="A30" s="20"/>
      <c r="B30" s="20"/>
      <c r="C30" s="20"/>
      <c r="D30" s="20"/>
      <c r="E30" s="20"/>
      <c r="F30" s="20"/>
      <c r="G30" s="20"/>
      <c r="H30" s="20"/>
      <c r="I30" s="20"/>
      <c r="J30" s="20"/>
      <c r="K30" s="20"/>
      <c r="L30" s="20"/>
      <c r="M30" s="20"/>
      <c r="N30" s="20"/>
      <c r="O30" s="20"/>
      <c r="P30" s="20"/>
      <c r="Q30" s="32" t="str">
        <v>C0015</v>
      </c>
      <c r="R30" s="33">
        <v>1138</v>
      </c>
      <c r="S30" s="33">
        <v>1898</v>
      </c>
      <c r="T30" s="33">
        <v>1482</v>
      </c>
      <c r="U30" s="33">
        <v>846</v>
      </c>
      <c r="V30" s="33">
        <v>1154</v>
      </c>
      <c r="W30" s="34">
        <v>6518</v>
      </c>
      <c r="X30" s="20"/>
      <c r="Y30" s="20"/>
      <c r="Z30" s="20"/>
      <c r="AA30" s="20"/>
      <c r="AB30" s="20"/>
      <c r="AC30" s="20"/>
    </row>
    <row r="31" spans="1:29" x14ac:dyDescent="0.3">
      <c r="A31" s="20"/>
      <c r="B31" s="20"/>
      <c r="C31" s="20"/>
      <c r="D31" s="20"/>
      <c r="E31" s="20"/>
      <c r="F31" s="20"/>
      <c r="G31" s="20"/>
      <c r="H31" s="20"/>
      <c r="I31" s="20"/>
      <c r="J31" s="20"/>
      <c r="K31" s="20"/>
      <c r="L31" s="20"/>
      <c r="M31" s="20"/>
      <c r="N31" s="20"/>
      <c r="O31" s="20"/>
      <c r="P31" s="20"/>
      <c r="Q31" s="40" t="str">
        <v>Columbus</v>
      </c>
      <c r="R31" s="33" t="str">
        <v/>
      </c>
      <c r="S31" s="33" t="str">
        <v/>
      </c>
      <c r="T31" s="33" t="str">
        <v/>
      </c>
      <c r="U31" s="33" t="str">
        <v/>
      </c>
      <c r="V31" s="33" t="str">
        <v/>
      </c>
      <c r="W31" s="34" t="str">
        <v/>
      </c>
      <c r="X31" s="20"/>
      <c r="Y31" s="20"/>
      <c r="Z31" s="20"/>
      <c r="AA31" s="20"/>
      <c r="AB31" s="20"/>
      <c r="AC31" s="20"/>
    </row>
    <row r="32" spans="1:29" x14ac:dyDescent="0.3">
      <c r="A32" s="20"/>
      <c r="B32" s="20"/>
      <c r="C32" s="20"/>
      <c r="D32" s="20"/>
      <c r="E32" s="20"/>
      <c r="F32" s="20"/>
      <c r="G32" s="20"/>
      <c r="H32" s="20"/>
      <c r="I32" s="20"/>
      <c r="J32" s="20"/>
      <c r="K32" s="20"/>
      <c r="L32" s="20"/>
      <c r="M32" s="20"/>
      <c r="N32" s="20"/>
      <c r="O32" s="20"/>
      <c r="P32" s="20"/>
      <c r="Q32" s="32" t="str">
        <v>C0001</v>
      </c>
      <c r="R32" s="33">
        <v>1655</v>
      </c>
      <c r="S32" s="33">
        <v>805</v>
      </c>
      <c r="T32" s="33">
        <v>2263</v>
      </c>
      <c r="U32" s="33">
        <v>987</v>
      </c>
      <c r="V32" s="33">
        <v>1075</v>
      </c>
      <c r="W32" s="34">
        <v>6785</v>
      </c>
      <c r="X32" s="20"/>
      <c r="Y32" s="20"/>
      <c r="Z32" s="20"/>
      <c r="AA32" s="20"/>
      <c r="AB32" s="20"/>
      <c r="AC32" s="20"/>
    </row>
    <row r="33" spans="1:29" x14ac:dyDescent="0.3">
      <c r="A33" s="20"/>
      <c r="B33" s="20"/>
      <c r="C33" s="20"/>
      <c r="D33" s="20"/>
      <c r="E33" s="20"/>
      <c r="F33" s="20"/>
      <c r="G33" s="20"/>
      <c r="H33" s="20"/>
      <c r="I33" s="20"/>
      <c r="J33" s="20"/>
      <c r="K33" s="20"/>
      <c r="L33" s="20"/>
      <c r="M33" s="20"/>
      <c r="N33" s="20"/>
      <c r="O33" s="20"/>
      <c r="P33" s="20"/>
      <c r="Q33" s="32" t="str">
        <v>C0005</v>
      </c>
      <c r="R33" s="33">
        <v>1104</v>
      </c>
      <c r="S33" s="33">
        <v>2280</v>
      </c>
      <c r="T33" s="33">
        <v>1445</v>
      </c>
      <c r="U33" s="33">
        <v>1722</v>
      </c>
      <c r="V33" s="33">
        <v>1196</v>
      </c>
      <c r="W33" s="34">
        <v>7747</v>
      </c>
      <c r="X33" s="20"/>
      <c r="Y33" s="20"/>
      <c r="Z33" s="20" t="s">
        <v>1077</v>
      </c>
      <c r="AA33" s="20"/>
      <c r="AB33" s="20"/>
      <c r="AC33" s="20"/>
    </row>
    <row r="34" spans="1:29" x14ac:dyDescent="0.3">
      <c r="A34" s="20"/>
      <c r="B34" s="20"/>
      <c r="C34" s="20"/>
      <c r="D34" s="20"/>
      <c r="E34" s="20"/>
      <c r="F34" s="20"/>
      <c r="G34" s="20"/>
      <c r="H34" s="20"/>
      <c r="I34" s="20"/>
      <c r="J34" s="20"/>
      <c r="K34" s="20"/>
      <c r="L34" s="20"/>
      <c r="M34" s="20"/>
      <c r="N34" s="20"/>
      <c r="O34" s="20"/>
      <c r="P34" s="20"/>
      <c r="Q34" s="32" t="str">
        <v>C0006</v>
      </c>
      <c r="R34" s="33">
        <v>372</v>
      </c>
      <c r="S34" s="33">
        <v>1818</v>
      </c>
      <c r="T34" s="33">
        <v>1346</v>
      </c>
      <c r="U34" s="33">
        <v>1156</v>
      </c>
      <c r="V34" s="33">
        <v>1484</v>
      </c>
      <c r="W34" s="34">
        <v>6176</v>
      </c>
      <c r="X34" s="20"/>
      <c r="Y34" s="20"/>
      <c r="Z34" s="20"/>
      <c r="AA34" s="20"/>
      <c r="AB34" s="20"/>
      <c r="AC34" s="20"/>
    </row>
    <row r="35" spans="1:29" x14ac:dyDescent="0.3">
      <c r="A35" s="20"/>
      <c r="B35" s="20"/>
      <c r="C35" s="20"/>
      <c r="D35" s="20"/>
      <c r="E35" s="20"/>
      <c r="F35" s="20"/>
      <c r="G35" s="20"/>
      <c r="H35" s="20"/>
      <c r="I35" s="20"/>
      <c r="J35" s="20"/>
      <c r="K35" s="20"/>
      <c r="L35" s="20"/>
      <c r="M35" s="20"/>
      <c r="N35" s="20"/>
      <c r="O35" s="20"/>
      <c r="P35" s="20"/>
      <c r="Q35" s="32" t="str">
        <v>C0009</v>
      </c>
      <c r="R35" s="33">
        <v>1415</v>
      </c>
      <c r="S35" s="33">
        <v>1271</v>
      </c>
      <c r="T35" s="33">
        <v>1214</v>
      </c>
      <c r="U35" s="33">
        <v>1135</v>
      </c>
      <c r="V35" s="33">
        <v>1566</v>
      </c>
      <c r="W35" s="34">
        <v>6601</v>
      </c>
      <c r="X35" s="20"/>
      <c r="Y35" s="20"/>
      <c r="Z35" s="20"/>
      <c r="AA35" s="20"/>
      <c r="AB35" s="20"/>
      <c r="AC35" s="20"/>
    </row>
    <row r="36" spans="1:29" x14ac:dyDescent="0.3">
      <c r="A36" s="20"/>
      <c r="B36" s="20"/>
      <c r="C36" s="20"/>
      <c r="D36" s="20"/>
      <c r="E36" s="20"/>
      <c r="F36" s="20"/>
      <c r="G36" s="20"/>
      <c r="H36" s="20"/>
      <c r="I36" s="20"/>
      <c r="J36" s="20"/>
      <c r="K36" s="20"/>
      <c r="L36" s="20"/>
      <c r="M36" s="20"/>
      <c r="N36" s="20"/>
      <c r="O36" s="20"/>
      <c r="P36" s="20"/>
      <c r="Q36" s="35" t="str">
        <v>C0014</v>
      </c>
      <c r="R36" s="36">
        <v>1362</v>
      </c>
      <c r="S36" s="36">
        <v>1363</v>
      </c>
      <c r="T36" s="36">
        <v>1152</v>
      </c>
      <c r="U36" s="36">
        <v>777</v>
      </c>
      <c r="V36" s="36">
        <v>750</v>
      </c>
      <c r="W36" s="37">
        <v>5404</v>
      </c>
      <c r="X36" s="20"/>
      <c r="Y36" s="20"/>
      <c r="Z36" s="20"/>
      <c r="AA36" s="20"/>
      <c r="AB36" s="20"/>
      <c r="AC36" s="20"/>
    </row>
    <row r="37" spans="1:29"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row>
    <row r="38" spans="1:29"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row>
    <row r="39" spans="1:29"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row>
    <row r="40" spans="1:29"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row>
    <row r="41" spans="1:29"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row>
  </sheetData>
  <conditionalFormatting sqref="R20:V36">
    <cfRule type="dataBar" priority="3">
      <dataBar>
        <cfvo type="num" val="0"/>
        <cfvo type="formula" val="MAX($R$20:$V$36)*2"/>
        <color theme="1" tint="0.14999847407452621"/>
      </dataBar>
      <extLst>
        <ext xmlns:x14="http://schemas.microsoft.com/office/spreadsheetml/2009/9/main" uri="{B025F937-C7B1-47D3-B67F-A62EFF666E3E}">
          <x14:id>{E7FE52E2-659C-4B71-945D-24296DD5F1B4}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6" id="{AD7F9A38-1FF8-4B33-8F16-CC14FD0DEDDB}">
            <xm:f>R$18=pivots!$A$54</xm:f>
            <x14:dxf>
              <fill>
                <patternFill>
                  <bgColor theme="8" tint="0.59996337778862885"/>
                </patternFill>
              </fill>
              <border>
                <left style="thin">
                  <color theme="1" tint="0.14996795556505021"/>
                </left>
                <right style="thin">
                  <color theme="1" tint="0.14996795556505021"/>
                </right>
                <vertical/>
                <horizontal/>
              </border>
            </x14:dxf>
          </x14:cfRule>
          <xm:sqref>R18:V36</xm:sqref>
        </x14:conditionalFormatting>
        <x14:conditionalFormatting xmlns:xm="http://schemas.microsoft.com/office/excel/2006/main">
          <x14:cfRule type="dataBar" id="{E7FE52E2-659C-4B71-945D-24296DD5F1B4}">
            <x14:dataBar minLength="0" maxLength="100" gradient="0">
              <x14:cfvo type="num">
                <xm:f>0</xm:f>
              </x14:cfvo>
              <x14:cfvo type="formula">
                <xm:f>MAX($R$20:$V$36)*2</xm:f>
              </x14:cfvo>
              <x14:negativeFillColor rgb="FFFF0000"/>
              <x14:axisColor rgb="FF000000"/>
            </x14:dataBar>
          </x14:cfRule>
          <xm:sqref>R20:V36</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Assets</vt:lpstr>
      <vt:lpstr>Customer Centre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rajmaurya209@gmail.com</cp:lastModifiedBy>
  <dcterms:created xsi:type="dcterms:W3CDTF">2021-03-14T20:21:32Z</dcterms:created>
  <dcterms:modified xsi:type="dcterms:W3CDTF">2026-09-10T11:03:12Z</dcterms:modified>
</cp:coreProperties>
</file>